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figurace" sheetId="1" state="visible" r:id="rId3"/>
    <sheet name="Bodování po rozmezíc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<sst xmlns="http://schemas.openxmlformats.org/spreadsheetml/2006/main" count="171" uniqueCount="145">
  <si>
    <t xml:space="preserve">FinanceFlow – Dluhový stres index (konfigurace)</t>
  </si>
  <si>
    <t xml:space="preserve">Modře/žlutě = editovatelné (váhy + prahy). Uprav a pošli zpět – synchronizuji do _STRESS_CFG v debts.js. Stres 0..váha (0=zdravé, váha=max stres); vyšší součet = horší. List „Bodování po rozmezích" ukazuje body pro konkrétní hodnoty.</t>
  </si>
  <si>
    <t xml:space="preserve">#</t>
  </si>
  <si>
    <t xml:space="preserve">Metrika</t>
  </si>
  <si>
    <t xml:space="preserve">Váha (b)</t>
  </si>
  <si>
    <t xml:space="preserve">Co měří</t>
  </si>
  <si>
    <t xml:space="preserve">Výpočet stresu</t>
  </si>
  <si>
    <t xml:space="preserve">Práh „zdravé"</t>
  </si>
  <si>
    <t xml:space="preserve">Práh „max stres"</t>
  </si>
  <si>
    <t xml:space="preserve">Klíč _STRESS_CFG</t>
  </si>
  <si>
    <t xml:space="preserve">DSTI – zatížení příjmu</t>
  </si>
  <si>
    <t xml:space="preserve">Splátky / měsíční příjem</t>
  </si>
  <si>
    <t xml:space="preserve">(1 − msc_DSTI/40) × váha</t>
  </si>
  <si>
    <t xml:space="preserve">dle tabulky msc_DSTI</t>
  </si>
  <si>
    <t xml:space="preserve">„banka zamítne"</t>
  </si>
  <si>
    <t xml:space="preserve">w.dsti</t>
  </si>
  <si>
    <t xml:space="preserve">Emergency Fund</t>
  </si>
  <si>
    <t xml:space="preserve">Měsíce PŘEŽITÍ BEZ PŘÍJMU: hotovost + likvidní rezerva (spořicí účet, term. vklad) / měsíční výdaje. NEZAHRNUJE investice (akcie/ETF) ani dlouhodobé (penzijko, DIP, nemovitosti).</t>
  </si>
  <si>
    <t xml:space="preserve">váha × (1 − měs./práh)</t>
  </si>
  <si>
    <t xml:space="preserve">≥ 6 měsíců</t>
  </si>
  <si>
    <t xml:space="preserve">0 měsíců</t>
  </si>
  <si>
    <t xml:space="preserve">emergencyMonthsFull</t>
  </si>
  <si>
    <t xml:space="preserve">DTI – celková zadluženost</t>
  </si>
  <si>
    <t xml:space="preserve">Dluh / roční příjem</t>
  </si>
  <si>
    <t xml:space="preserve">(1 − msc_DTI/60) × váha</t>
  </si>
  <si>
    <t xml:space="preserve">dle tabulky msc_DTI</t>
  </si>
  <si>
    <t xml:space="preserve">w.dti</t>
  </si>
  <si>
    <t xml:space="preserve">Interest Cost Ratio</t>
  </si>
  <si>
    <t xml:space="preserve">Úroky / měsíční příjem</t>
  </si>
  <si>
    <t xml:space="preserve">váha × poměr / práh</t>
  </si>
  <si>
    <t xml:space="preserve">0 %</t>
  </si>
  <si>
    <t xml:space="preserve">≥ 15 % příjmu</t>
  </si>
  <si>
    <t xml:space="preserve">interestCostMax</t>
  </si>
  <si>
    <t xml:space="preserve">Debt Quality</t>
  </si>
  <si>
    <t xml:space="preserve">Podíl drahého dluhu (objem)</t>
  </si>
  <si>
    <t xml:space="preserve">váha × podíl</t>
  </si>
  <si>
    <t xml:space="preserve">0 % drahého</t>
  </si>
  <si>
    <t xml:space="preserve">100 % drahého</t>
  </si>
  <si>
    <t xml:space="preserve">expensiveRate</t>
  </si>
  <si>
    <t xml:space="preserve">Počet půjček</t>
  </si>
  <si>
    <t xml:space="preserve">Počet aktivních půjček</t>
  </si>
  <si>
    <t xml:space="preserve">(počet−1) × 2, strop</t>
  </si>
  <si>
    <t xml:space="preserve">1 půjčka</t>
  </si>
  <si>
    <t xml:space="preserve">≥ 5 půjček</t>
  </si>
  <si>
    <t xml:space="preserve">w.loanCount</t>
  </si>
  <si>
    <t xml:space="preserve">Vážený úrok</t>
  </si>
  <si>
    <t xml:space="preserve">Σ(zůstatek×sazba)/Σzůstatek</t>
  </si>
  <si>
    <t xml:space="preserve">váha × (úrok−min)/(max−min)</t>
  </si>
  <si>
    <t xml:space="preserve">≤ 3 %</t>
  </si>
  <si>
    <t xml:space="preserve">≥ 20 %</t>
  </si>
  <si>
    <t xml:space="preserve">avgRateMin/Max</t>
  </si>
  <si>
    <t xml:space="preserve">Likvidita</t>
  </si>
  <si>
    <t xml:space="preserve">Likv. aktiva v měsících splátek</t>
  </si>
  <si>
    <t xml:space="preserve">≥ 12 měsíců</t>
  </si>
  <si>
    <t xml:space="preserve">liquidityMonthsFull</t>
  </si>
  <si>
    <t xml:space="preserve">Trend splácení</t>
  </si>
  <si>
    <t xml:space="preserve">Klesá jistina + splácíš vše?</t>
  </si>
  <si>
    <t xml:space="preserve">0/nesplácené×2/neklesá=max</t>
  </si>
  <si>
    <t xml:space="preserve">jistina klesá</t>
  </si>
  <si>
    <t xml:space="preserve">neklesá</t>
  </si>
  <si>
    <t xml:space="preserve">w.trend</t>
  </si>
  <si>
    <t xml:space="preserve">Debt Velocity</t>
  </si>
  <si>
    <t xml:space="preserve">Horizont splacení jistiny</t>
  </si>
  <si>
    <t xml:space="preserve">váha × (měs.−rychlý)/(pomalý−rychlý)</t>
  </si>
  <si>
    <t xml:space="preserve">≤ 5 let</t>
  </si>
  <si>
    <t xml:space="preserve">≥ 30 let</t>
  </si>
  <si>
    <t xml:space="preserve">velocityFast/Slow</t>
  </si>
  <si>
    <t xml:space="preserve">SOUČET VAH (musí být 100)</t>
  </si>
  <si>
    <t xml:space="preserve">PARAMETRY (prahy) – editovatelné</t>
  </si>
  <si>
    <t xml:space="preserve">měsíce výdajů = plná rezerva (0 stresu)</t>
  </si>
  <si>
    <t xml:space="preserve">úroky jako podíl příjmu = max stres</t>
  </si>
  <si>
    <t xml:space="preserve">avgRateMin</t>
  </si>
  <si>
    <t xml:space="preserve">vážený úrok pod = 0 stresu</t>
  </si>
  <si>
    <t xml:space="preserve">avgRateMax</t>
  </si>
  <si>
    <t xml:space="preserve">vážený úrok nad = max stres</t>
  </si>
  <si>
    <t xml:space="preserve">měsíce splátek kryté likviditou = 0 stresu</t>
  </si>
  <si>
    <t xml:space="preserve">velocityFastMonths</t>
  </si>
  <si>
    <t xml:space="preserve">≤ tolik měsíců do splacení = 0 stresu</t>
  </si>
  <si>
    <t xml:space="preserve">velocitySlowMonths</t>
  </si>
  <si>
    <t xml:space="preserve">≥ tolik měsíců = max stres</t>
  </si>
  <si>
    <t xml:space="preserve">úrok nad = drahý dluh (%)</t>
  </si>
  <si>
    <t xml:space="preserve">PÁSMA CELKOVÉHO STRESU</t>
  </si>
  <si>
    <t xml:space="preserve">🟢 Stabilní</t>
  </si>
  <si>
    <t xml:space="preserve">0 – 29 b</t>
  </si>
  <si>
    <t xml:space="preserve">🟡 Rizikové</t>
  </si>
  <si>
    <t xml:space="preserve">30 – 59 b</t>
  </si>
  <si>
    <t xml:space="preserve">🔴 Dluhová spirála</t>
  </si>
  <si>
    <t xml:space="preserve">60 – 100 b</t>
  </si>
  <si>
    <t xml:space="preserve">Body (stres) pro konkrétní hodnoty metrik</t>
  </si>
  <si>
    <t xml:space="preserve">0 = zdravé, plná váha = max stres. Formule referencují váhy a prahy z listu „Konfigurace" – když je změníš, tabulky se přepočítají. DSTI a DTI jdou z Milanových tabulek (ukázkové řádky).</t>
  </si>
  <si>
    <t xml:space="preserve">Emergency Fund (váha z C6, práh B19)</t>
  </si>
  <si>
    <t xml:space="preserve">Rezerva (měsíce výdajů)</t>
  </si>
  <si>
    <t xml:space="preserve">Body (stres)</t>
  </si>
  <si>
    <t xml:space="preserve">0 měs.</t>
  </si>
  <si>
    <t xml:space="preserve">1 měs.</t>
  </si>
  <si>
    <t xml:space="preserve">2 měs.</t>
  </si>
  <si>
    <t xml:space="preserve">3 měs.</t>
  </si>
  <si>
    <t xml:space="preserve">4 měs.</t>
  </si>
  <si>
    <t xml:space="preserve">5 měs.</t>
  </si>
  <si>
    <t xml:space="preserve">6 měs.</t>
  </si>
  <si>
    <t xml:space="preserve">Interest Cost Ratio (váha C8, práh B20)</t>
  </si>
  <si>
    <t xml:space="preserve">Úroky jako % příjmu</t>
  </si>
  <si>
    <t xml:space="preserve">3 %</t>
  </si>
  <si>
    <t xml:space="preserve">6 %</t>
  </si>
  <si>
    <t xml:space="preserve">9 %</t>
  </si>
  <si>
    <t xml:space="preserve">12 %</t>
  </si>
  <si>
    <t xml:space="preserve">15 %</t>
  </si>
  <si>
    <t xml:space="preserve">20 %</t>
  </si>
  <si>
    <t xml:space="preserve">Debt Quality (váha C9)</t>
  </si>
  <si>
    <t xml:space="preserve">Podíl drahého dluhu</t>
  </si>
  <si>
    <t xml:space="preserve">25 %</t>
  </si>
  <si>
    <t xml:space="preserve">50 %</t>
  </si>
  <si>
    <t xml:space="preserve">75 %</t>
  </si>
  <si>
    <t xml:space="preserve">100 %</t>
  </si>
  <si>
    <t xml:space="preserve">Počet půjček (váha C10)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</si>
  <si>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</si>
  <si>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</si>
  <si>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</si>
  <si>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</si>
  <si>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</si>
  <si>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</si>
  <si>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Vážený úrok (váha C11, prahy B21/B22)</t>
  </si>
  <si>
    <t xml:space="preserve">Vážený úrok (% p.a.)</t>
  </si>
  <si>
    <t xml:space="preserve">Likvidita (váha C12, práh B23)</t>
  </si>
  <si>
    <t xml:space="preserve">Krytí splátek (měsíce)</t>
  </si>
  <si>
    <t xml:space="preserve">9 měs.</t>
  </si>
  <si>
    <t xml:space="preserve">12 měs.</t>
  </si>
  <si>
    <t xml:space="preserve">Debt Velocity (váha C14, prahy B24/B25)</t>
  </si>
  <si>
    <t xml:space="preserve">Horizont splacení (let)</t>
  </si>
  <si>
    <t xml:space="preserve">5 let</t>
  </si>
  <si>
    <t xml:space="preserve">10 let</t>
  </si>
  <si>
    <t xml:space="preserve">15 let</t>
  </si>
  <si>
    <t xml:space="preserve">20 let</t>
  </si>
  <si>
    <t xml:space="preserve">25 let</t>
  </si>
  <si>
    <t xml:space="preserve">30 let</t>
  </si>
  <si>
    <t xml:space="preserve">Trend splácení (váha C13)</t>
  </si>
  <si>
    <t xml:space="preserve">Situace</t>
  </si>
  <si>
    <t xml:space="preserve">jistina klesá + splácíš vše</t>
  </si>
  <si>
    <t xml:space="preserve">1 nesplácená půjčka</t>
  </si>
  <si>
    <t xml:space="preserve">2 nesplácené</t>
  </si>
  <si>
    <t xml:space="preserve">jistina NEklesá</t>
  </si>
  <si>
    <t xml:space="preserve">DSTI (váha C5) a DTI (váha C7)</t>
  </si>
  <si>
    <t xml:space="preserve">Jdou z Milanových tabulek (scoring-config): stres = (1 − body_tabulky/max) × váha. Ukázka:</t>
  </si>
  <si>
    <t xml:space="preserve">DSTI ≤35 % → 0 b · 45 % → ~10 b · ≥50 % (banka zamítne) → plná váha (20 b)</t>
  </si>
  <si>
    <t xml:space="preserve">DTI ≤700 % → 0 b · 900 % → ~7,5 b · &gt;900 % (banka zamítne) → plná váha (15 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</si>
</sst>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4A3B8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4A3B8C"/>
      <name val="Arial"/>
      <family val="0"/>
      <charset val="1"/>
    </font>
    <font>
      <b val="true"/>
      <sz val="12"/>
      <color rgb="FF4A3B8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3B8C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A3B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18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9.75" hidden="false" customHeight="true" outlineLevel="0" collapsed="false">
      <c r="A5" s="5" t="n">
        <v>1</v>
      </c>
      <c r="B5" s="6" t="s">
        <v>10</v>
      </c>
      <c r="C5" s="7" t="n">
        <v>20</v>
      </c>
      <c r="D5" s="8" t="s">
        <v>11</v>
      </c>
      <c r="E5" s="8" t="s">
        <v>12</v>
      </c>
      <c r="F5" s="8" t="s">
        <v>13</v>
      </c>
      <c r="G5" s="8" t="s">
        <v>14</v>
      </c>
      <c r="H5" s="9" t="s">
        <v>15</v>
      </c>
    </row>
    <row r="6" customFormat="false" ht="39.75" hidden="false" customHeight="true" outlineLevel="0" collapsed="false">
      <c r="A6" s="5" t="n">
        <v>2</v>
      </c>
      <c r="B6" s="6" t="s">
        <v>16</v>
      </c>
      <c r="C6" s="7" t="n">
        <v>15</v>
      </c>
      <c r="D6" s="8" t="s">
        <v>17</v>
      </c>
      <c r="E6" s="8" t="s">
        <v>18</v>
      </c>
      <c r="F6" s="8" t="s">
        <v>19</v>
      </c>
      <c r="G6" s="8" t="s">
        <v>20</v>
      </c>
      <c r="H6" s="9" t="s">
        <v>21</v>
      </c>
    </row>
    <row r="7" customFormat="false" ht="39.75" hidden="false" customHeight="true" outlineLevel="0" collapsed="false">
      <c r="A7" s="5" t="n">
        <v>3</v>
      </c>
      <c r="B7" s="6" t="s">
        <v>22</v>
      </c>
      <c r="C7" s="7" t="n">
        <v>15</v>
      </c>
      <c r="D7" s="8" t="s">
        <v>23</v>
      </c>
      <c r="E7" s="8" t="s">
        <v>24</v>
      </c>
      <c r="F7" s="8" t="s">
        <v>25</v>
      </c>
      <c r="G7" s="8" t="s">
        <v>14</v>
      </c>
      <c r="H7" s="9" t="s">
        <v>26</v>
      </c>
    </row>
    <row r="8" customFormat="false" ht="39.75" hidden="false" customHeight="true" outlineLevel="0" collapsed="false">
      <c r="A8" s="5" t="n">
        <v>4</v>
      </c>
      <c r="B8" s="6" t="s">
        <v>27</v>
      </c>
      <c r="C8" s="7" t="n">
        <v>10</v>
      </c>
      <c r="D8" s="8" t="s">
        <v>28</v>
      </c>
      <c r="E8" s="8" t="s">
        <v>29</v>
      </c>
      <c r="F8" s="8" t="s">
        <v>30</v>
      </c>
      <c r="G8" s="8" t="s">
        <v>31</v>
      </c>
      <c r="H8" s="9" t="s">
        <v>32</v>
      </c>
    </row>
    <row r="9" customFormat="false" ht="39.75" hidden="false" customHeight="true" outlineLevel="0" collapsed="false">
      <c r="A9" s="5" t="n">
        <v>5</v>
      </c>
      <c r="B9" s="6" t="s">
        <v>33</v>
      </c>
      <c r="C9" s="7" t="n">
        <v>10</v>
      </c>
      <c r="D9" s="8" t="s">
        <v>34</v>
      </c>
      <c r="E9" s="8" t="s">
        <v>35</v>
      </c>
      <c r="F9" s="8" t="s">
        <v>36</v>
      </c>
      <c r="G9" s="8" t="s">
        <v>37</v>
      </c>
      <c r="H9" s="9" t="s">
        <v>38</v>
      </c>
    </row>
    <row r="10" customFormat="false" ht="39.75" hidden="false" customHeight="true" outlineLevel="0" collapsed="false">
      <c r="A10" s="5" t="n">
        <v>6</v>
      </c>
      <c r="B10" s="6" t="s">
        <v>39</v>
      </c>
      <c r="C10" s="7" t="n">
        <v>8</v>
      </c>
      <c r="D10" s="8" t="s">
        <v>40</v>
      </c>
      <c r="E10" s="8" t="s">
        <v>41</v>
      </c>
      <c r="F10" s="8" t="s">
        <v>42</v>
      </c>
      <c r="G10" s="8" t="s">
        <v>43</v>
      </c>
      <c r="H10" s="9" t="s">
        <v>44</v>
      </c>
    </row>
    <row r="11" customFormat="false" ht="39.75" hidden="false" customHeight="true" outlineLevel="0" collapsed="false">
      <c r="A11" s="5" t="n">
        <v>7</v>
      </c>
      <c r="B11" s="6" t="s">
        <v>45</v>
      </c>
      <c r="C11" s="7" t="n">
        <v>7</v>
      </c>
      <c r="D11" s="8" t="s">
        <v>46</v>
      </c>
      <c r="E11" s="8" t="s">
        <v>47</v>
      </c>
      <c r="F11" s="8" t="s">
        <v>48</v>
      </c>
      <c r="G11" s="8" t="s">
        <v>49</v>
      </c>
      <c r="H11" s="9" t="s">
        <v>50</v>
      </c>
    </row>
    <row r="12" customFormat="false" ht="39.75" hidden="false" customHeight="true" outlineLevel="0" collapsed="false">
      <c r="A12" s="5" t="n">
        <v>8</v>
      </c>
      <c r="B12" s="6" t="s">
        <v>51</v>
      </c>
      <c r="C12" s="7" t="n">
        <v>5</v>
      </c>
      <c r="D12" s="8" t="s">
        <v>52</v>
      </c>
      <c r="E12" s="8" t="s">
        <v>18</v>
      </c>
      <c r="F12" s="8" t="s">
        <v>53</v>
      </c>
      <c r="G12" s="8" t="s">
        <v>20</v>
      </c>
      <c r="H12" s="9" t="s">
        <v>54</v>
      </c>
    </row>
    <row r="13" customFormat="false" ht="39.75" hidden="false" customHeight="true" outlineLevel="0" collapsed="false">
      <c r="A13" s="5" t="n">
        <v>9</v>
      </c>
      <c r="B13" s="6" t="s">
        <v>55</v>
      </c>
      <c r="C13" s="7" t="n">
        <v>5</v>
      </c>
      <c r="D13" s="8" t="s">
        <v>56</v>
      </c>
      <c r="E13" s="8" t="s">
        <v>57</v>
      </c>
      <c r="F13" s="8" t="s">
        <v>58</v>
      </c>
      <c r="G13" s="8" t="s">
        <v>59</v>
      </c>
      <c r="H13" s="9" t="s">
        <v>60</v>
      </c>
    </row>
    <row r="14" customFormat="false" ht="39.75" hidden="false" customHeight="true" outlineLevel="0" collapsed="false">
      <c r="A14" s="5" t="n">
        <v>10</v>
      </c>
      <c r="B14" s="6" t="s">
        <v>61</v>
      </c>
      <c r="C14" s="7" t="n">
        <v>5</v>
      </c>
      <c r="D14" s="8" t="s">
        <v>62</v>
      </c>
      <c r="E14" s="8" t="s">
        <v>63</v>
      </c>
      <c r="F14" s="8" t="s">
        <v>64</v>
      </c>
      <c r="G14" s="8" t="s">
        <v>65</v>
      </c>
      <c r="H14" s="9" t="s">
        <v>66</v>
      </c>
    </row>
    <row r="15" customFormat="false" ht="15" hidden="false" customHeight="true" outlineLevel="0" collapsed="false">
      <c r="A15" s="10"/>
      <c r="B15" s="11" t="s">
        <v>67</v>
      </c>
      <c r="C15" s="12" t="n">
        <f aca="false">SUM(C5:C14)</f>
        <v>100</v>
      </c>
      <c r="D15" s="10"/>
      <c r="E15" s="10"/>
      <c r="F15" s="10"/>
      <c r="G15" s="10"/>
      <c r="H15" s="10"/>
    </row>
    <row r="18" customFormat="false" ht="15" hidden="false" customHeight="true" outlineLevel="0" collapsed="false">
      <c r="A18" s="13" t="s">
        <v>68</v>
      </c>
    </row>
    <row r="19" customFormat="false" ht="15" hidden="false" customHeight="true" outlineLevel="0" collapsed="false">
      <c r="A19" s="14" t="s">
        <v>21</v>
      </c>
      <c r="B19" s="15" t="n">
        <v>6</v>
      </c>
      <c r="C19" s="16" t="s">
        <v>69</v>
      </c>
    </row>
    <row r="20" customFormat="false" ht="15" hidden="false" customHeight="true" outlineLevel="0" collapsed="false">
      <c r="A20" s="14" t="s">
        <v>32</v>
      </c>
      <c r="B20" s="15" t="n">
        <v>0.15</v>
      </c>
      <c r="C20" s="16" t="s">
        <v>70</v>
      </c>
    </row>
    <row r="21" customFormat="false" ht="15" hidden="false" customHeight="true" outlineLevel="0" collapsed="false">
      <c r="A21" s="14" t="s">
        <v>71</v>
      </c>
      <c r="B21" s="15" t="n">
        <v>3</v>
      </c>
      <c r="C21" s="16" t="s">
        <v>72</v>
      </c>
    </row>
    <row r="22" customFormat="false" ht="15" hidden="false" customHeight="true" outlineLevel="0" collapsed="false">
      <c r="A22" s="14" t="s">
        <v>73</v>
      </c>
      <c r="B22" s="15" t="n">
        <v>20</v>
      </c>
      <c r="C22" s="16" t="s">
        <v>74</v>
      </c>
    </row>
    <row r="23" customFormat="false" ht="15" hidden="false" customHeight="true" outlineLevel="0" collapsed="false">
      <c r="A23" s="14" t="s">
        <v>54</v>
      </c>
      <c r="B23" s="15" t="n">
        <v>12</v>
      </c>
      <c r="C23" s="16" t="s">
        <v>75</v>
      </c>
    </row>
    <row r="24" customFormat="false" ht="15" hidden="false" customHeight="true" outlineLevel="0" collapsed="false">
      <c r="A24" s="14" t="s">
        <v>76</v>
      </c>
      <c r="B24" s="15" t="n">
        <v>60</v>
      </c>
      <c r="C24" s="16" t="s">
        <v>77</v>
      </c>
    </row>
    <row r="25" customFormat="false" ht="15" hidden="false" customHeight="true" outlineLevel="0" collapsed="false">
      <c r="A25" s="14" t="s">
        <v>78</v>
      </c>
      <c r="B25" s="15" t="n">
        <v>360</v>
      </c>
      <c r="C25" s="16" t="s">
        <v>79</v>
      </c>
    </row>
    <row r="26" customFormat="false" ht="15" hidden="false" customHeight="true" outlineLevel="0" collapsed="false">
      <c r="A26" s="14" t="s">
        <v>38</v>
      </c>
      <c r="B26" s="15" t="n">
        <v>15</v>
      </c>
      <c r="C26" s="16" t="s">
        <v>80</v>
      </c>
    </row>
    <row r="28" customFormat="false" ht="15" hidden="false" customHeight="true" outlineLevel="0" collapsed="false">
      <c r="A28" s="13" t="s">
        <v>81</v>
      </c>
    </row>
    <row r="29" customFormat="false" ht="15" hidden="false" customHeight="true" outlineLevel="0" collapsed="false">
      <c r="A29" s="11" t="s">
        <v>82</v>
      </c>
      <c r="B29" s="17" t="s">
        <v>83</v>
      </c>
    </row>
    <row r="30" customFormat="false" ht="15" hidden="false" customHeight="true" outlineLevel="0" collapsed="false">
      <c r="A30" s="11" t="s">
        <v>84</v>
      </c>
      <c r="B30" s="17" t="s">
        <v>85</v>
      </c>
    </row>
    <row r="31" customFormat="false" ht="15" hidden="false" customHeight="true" outlineLevel="0" collapsed="false">
      <c r="A31" s="11" t="s">
        <v>86</v>
      </c>
      <c r="B31" s="17" t="s">
        <v>87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30"/>
    <col collapsed="false" customWidth="true" hidden="false" outlineLevel="0" max="5" min="5" style="1" width="10"/>
  </cols>
  <sheetData>
    <row r="1" customFormat="false" ht="18" hidden="false" customHeight="true" outlineLevel="0" collapsed="false">
      <c r="A1" s="2" t="s">
        <v>88</v>
      </c>
    </row>
    <row r="2" customFormat="false" ht="27.75" hidden="false" customHeight="true" outlineLevel="0" collapsed="false">
      <c r="A2" s="3" t="s">
        <v>89</v>
      </c>
      <c r="B2" s="3"/>
      <c r="C2" s="3"/>
      <c r="D2" s="3"/>
      <c r="E2" s="3"/>
    </row>
    <row r="4" customFormat="false" ht="15" hidden="false" customHeight="true" outlineLevel="0" collapsed="false">
      <c r="A4" s="18" t="s">
        <v>90</v>
      </c>
    </row>
    <row r="5" customFormat="false" ht="15" hidden="false" customHeight="true" outlineLevel="0" collapsed="false">
      <c r="A5" s="19" t="s">
        <v>91</v>
      </c>
      <c r="B5" s="19" t="s">
        <v>92</v>
      </c>
    </row>
    <row r="6" customFormat="false" ht="15" hidden="false" customHeight="true" outlineLevel="0" collapsed="false">
      <c r="A6" s="10" t="s">
        <v>93</v>
      </c>
      <c r="B6" s="20" t="n">
        <f aca="false">ROUND(MAX(0,MIN(Konfigurace!$C$6,Konfigurace!$C$6*(1-0/Konfigurace!$B$19))),1)</f>
        <v>15</v>
      </c>
    </row>
    <row r="7" customFormat="false" ht="15" hidden="false" customHeight="true" outlineLevel="0" collapsed="false">
      <c r="A7" s="10" t="s">
        <v>94</v>
      </c>
      <c r="B7" s="20" t="n">
        <f aca="false">ROUND(MAX(0,MIN(Konfigurace!$C$6,Konfigurace!$C$6*(1-1/Konfigurace!$B$19))),1)</f>
        <v>12.5</v>
      </c>
    </row>
    <row r="8" customFormat="false" ht="15" hidden="false" customHeight="true" outlineLevel="0" collapsed="false">
      <c r="A8" s="10" t="s">
        <v>95</v>
      </c>
      <c r="B8" s="20" t="n">
        <f aca="false">ROUND(MAX(0,MIN(Konfigurace!$C$6,Konfigurace!$C$6*(1-2/Konfigurace!$B$19))),1)</f>
        <v>10</v>
      </c>
    </row>
    <row r="9" customFormat="false" ht="15" hidden="false" customHeight="true" outlineLevel="0" collapsed="false">
      <c r="A9" s="10" t="s">
        <v>96</v>
      </c>
      <c r="B9" s="20" t="n">
        <f aca="false">ROUND(MAX(0,MIN(Konfigurace!$C$6,Konfigurace!$C$6*(1-3/Konfigurace!$B$19))),1)</f>
        <v>7.5</v>
      </c>
    </row>
    <row r="10" customFormat="false" ht="15" hidden="false" customHeight="true" outlineLevel="0" collapsed="false">
      <c r="A10" s="10" t="s">
        <v>97</v>
      </c>
      <c r="B10" s="20" t="n">
        <f aca="false">ROUND(MAX(0,MIN(Konfigurace!$C$6,Konfigurace!$C$6*(1-4/Konfigurace!$B$19))),1)</f>
        <v>5</v>
      </c>
    </row>
    <row r="11" customFormat="false" ht="15" hidden="false" customHeight="true" outlineLevel="0" collapsed="false">
      <c r="A11" s="10" t="s">
        <v>98</v>
      </c>
      <c r="B11" s="20" t="n">
        <f aca="false">ROUND(MAX(0,MIN(Konfigurace!$C$6,Konfigurace!$C$6*(1-5/Konfigurace!$B$19))),1)</f>
        <v>2.5</v>
      </c>
    </row>
    <row r="12" customFormat="false" ht="15" hidden="false" customHeight="true" outlineLevel="0" collapsed="false">
      <c r="A12" s="10" t="s">
        <v>99</v>
      </c>
      <c r="B12" s="20" t="n">
        <f aca="false">ROUND(MAX(0,MIN(Konfigurace!$C$6,Konfigurace!$C$6*(1-6/Konfigurace!$B$19))),1)</f>
        <v>0</v>
      </c>
    </row>
    <row r="14" customFormat="false" ht="15" hidden="false" customHeight="true" outlineLevel="0" collapsed="false">
      <c r="A14" s="18" t="s">
        <v>100</v>
      </c>
    </row>
    <row r="15" customFormat="false" ht="15" hidden="false" customHeight="true" outlineLevel="0" collapsed="false">
      <c r="A15" s="19" t="s">
        <v>101</v>
      </c>
      <c r="B15" s="19" t="s">
        <v>92</v>
      </c>
    </row>
    <row r="16" customFormat="false" ht="15" hidden="false" customHeight="true" outlineLevel="0" collapsed="false">
      <c r="A16" s="10" t="s">
        <v>30</v>
      </c>
      <c r="B16" s="20" t="n">
        <f aca="false">ROUND(MIN(Konfigurace!$C$8,Konfigurace!$C$8*0/Konfigurace!$B$20),1)</f>
        <v>0</v>
      </c>
    </row>
    <row r="17" customFormat="false" ht="15" hidden="false" customHeight="true" outlineLevel="0" collapsed="false">
      <c r="A17" s="10" t="s">
        <v>102</v>
      </c>
      <c r="B17" s="20" t="n">
        <f aca="false">ROUND(MIN(Konfigurace!$C$8,Konfigurace!$C$8*0.03/Konfigurace!$B$20),1)</f>
        <v>2</v>
      </c>
    </row>
    <row r="18" customFormat="false" ht="15" hidden="false" customHeight="true" outlineLevel="0" collapsed="false">
      <c r="A18" s="10" t="s">
        <v>103</v>
      </c>
      <c r="B18" s="20" t="n">
        <f aca="false">ROUND(MIN(Konfigurace!$C$8,Konfigurace!$C$8*0.06/Konfigurace!$B$20),1)</f>
        <v>4</v>
      </c>
    </row>
    <row r="19" customFormat="false" ht="15" hidden="false" customHeight="true" outlineLevel="0" collapsed="false">
      <c r="A19" s="10" t="s">
        <v>104</v>
      </c>
      <c r="B19" s="20" t="n">
        <f aca="false">ROUND(MIN(Konfigurace!$C$8,Konfigurace!$C$8*0.09/Konfigurace!$B$20),1)</f>
        <v>6</v>
      </c>
    </row>
    <row r="20" customFormat="false" ht="15" hidden="false" customHeight="true" outlineLevel="0" collapsed="false">
      <c r="A20" s="10" t="s">
        <v>105</v>
      </c>
      <c r="B20" s="20" t="n">
        <f aca="false">ROUND(MIN(Konfigurace!$C$8,Konfigurace!$C$8*0.12/Konfigurace!$B$20),1)</f>
        <v>8</v>
      </c>
    </row>
    <row r="21" customFormat="false" ht="15" hidden="false" customHeight="true" outlineLevel="0" collapsed="false">
      <c r="A21" s="10" t="s">
        <v>106</v>
      </c>
      <c r="B21" s="20" t="n">
        <f aca="false">ROUND(MIN(Konfigurace!$C$8,Konfigurace!$C$8*0.15/Konfigurace!$B$20),1)</f>
        <v>10</v>
      </c>
    </row>
    <row r="22" customFormat="false" ht="15" hidden="false" customHeight="true" outlineLevel="0" collapsed="false">
      <c r="A22" s="10" t="s">
        <v>107</v>
      </c>
      <c r="B22" s="20" t="n">
        <f aca="false">ROUND(MIN(Konfigurace!$C$8,Konfigurace!$C$8*0.2/Konfigurace!$B$20),1)</f>
        <v>10</v>
      </c>
    </row>
    <row r="24" customFormat="false" ht="15" hidden="false" customHeight="true" outlineLevel="0" collapsed="false">
      <c r="A24" s="18" t="s">
        <v>108</v>
      </c>
    </row>
    <row r="25" customFormat="false" ht="15" hidden="false" customHeight="true" outlineLevel="0" collapsed="false">
      <c r="A25" s="19" t="s">
        <v>109</v>
      </c>
      <c r="B25" s="19" t="s">
        <v>92</v>
      </c>
    </row>
    <row r="26" customFormat="false" ht="15" hidden="false" customHeight="true" outlineLevel="0" collapsed="false">
      <c r="A26" s="10" t="s">
        <v>30</v>
      </c>
      <c r="B26" s="20" t="n">
        <f aca="false">ROUND(Konfigurace!$C$9*0,1)</f>
        <v>0</v>
      </c>
    </row>
    <row r="27" customFormat="false" ht="15" hidden="false" customHeight="true" outlineLevel="0" collapsed="false">
      <c r="A27" s="10" t="s">
        <v>110</v>
      </c>
      <c r="B27" s="20" t="n">
        <f aca="false">ROUND(Konfigurace!$C$9*0.25,1)</f>
        <v>2.5</v>
      </c>
    </row>
    <row r="28" customFormat="false" ht="15" hidden="false" customHeight="true" outlineLevel="0" collapsed="false">
      <c r="A28" s="10" t="s">
        <v>111</v>
      </c>
      <c r="B28" s="20" t="n">
        <f aca="false">ROUND(Konfigurace!$C$9*0.5,1)</f>
        <v>5</v>
      </c>
    </row>
    <row r="29" customFormat="false" ht="15" hidden="false" customHeight="true" outlineLevel="0" collapsed="false">
      <c r="A29" s="10" t="s">
        <v>112</v>
      </c>
      <c r="B29" s="20" t="n">
        <f aca="false">ROUND(Konfigurace!$C$9*0.75,1)</f>
        <v>7.5</v>
      </c>
    </row>
    <row r="30" customFormat="false" ht="15" hidden="false" customHeight="true" outlineLevel="0" collapsed="false">
      <c r="A30" s="10" t="s">
        <v>113</v>
      </c>
      <c r="B30" s="20" t="n">
        <f aca="false">ROUND(Konfigurace!$C$9*1,1)</f>
        <v>10</v>
      </c>
    </row>
    <row r="32" customFormat="false" ht="15" hidden="false" customHeight="true" outlineLevel="0" collapsed="false">
      <c r="A32" s="18" t="s">
        <v>114</v>
      </c>
    </row>
    <row r="33" customFormat="false" ht="15" hidden="false" customHeight="true" outlineLevel="0" collapsed="false">
      <c r="A33" s="19" t="s">
        <v>39</v>
      </c>
      <c r="B33" s="19" t="s">
        <v>92</v>
      </c>
    </row>
    <row r="34" customFormat="false" ht="15" hidden="false" customHeight="true" outlineLevel="0" collapsed="false">
      <c r="A34" s="10" t="s">
        <v>115</v>
      </c>
      <c r="B34" s="20" t="n">
        <f aca="false">ROUND(MIN(Konfigurace!$C$10,MAX(0,(1-1)*2)),1)</f>
        <v>0</v>
      </c>
    </row>
    <row r="35" customFormat="false" ht="15" hidden="false" customHeight="true" outlineLevel="0" collapsed="false">
      <c r="A35" s="10" t="s">
        <v>116</v>
      </c>
      <c r="B35" s="20" t="n">
        <f aca="false">ROUND(MIN(Konfigurace!$C$10,MAX(0,(2-1)*2)),1)</f>
        <v>2</v>
      </c>
    </row>
    <row r="36" customFormat="false" ht="15" hidden="false" customHeight="true" outlineLevel="0" collapsed="false">
      <c r="A36" s="10" t="s">
        <v>117</v>
      </c>
      <c r="B36" s="20" t="n">
        <f aca="false">ROUND(MIN(Konfigurace!$C$10,MAX(0,(3-1)*2)),1)</f>
        <v>4</v>
      </c>
    </row>
    <row r="37" customFormat="false" ht="15" hidden="false" customHeight="true" outlineLevel="0" collapsed="false">
      <c r="A37" s="10" t="s">
        <v>118</v>
      </c>
      <c r="B37" s="20" t="n">
        <f aca="false">ROUND(MIN(Konfigurace!$C$10,MAX(0,(4-1)*2)),1)</f>
        <v>6</v>
      </c>
    </row>
    <row r="38" customFormat="false" ht="15" hidden="false" customHeight="true" outlineLevel="0" collapsed="false">
      <c r="A38" s="10" t="s">
        <v>119</v>
      </c>
      <c r="B38" s="20" t="n">
        <f aca="false">ROUND(MIN(Konfigurace!$C$10,MAX(0,(5-1)*2)),1)</f>
        <v>8</v>
      </c>
    </row>
    <row r="39" customFormat="false" ht="15" hidden="false" customHeight="true" outlineLevel="0" collapsed="false">
      <c r="A39" s="10" t="s">
        <v>120</v>
      </c>
      <c r="B39" s="20" t="n">
        <f aca="false">ROUND(MIN(Konfigurace!$C$10,MAX(0,(6-1)*2)),1)</f>
        <v>8</v>
      </c>
    </row>
    <row r="41" customFormat="false" ht="15" hidden="false" customHeight="true" outlineLevel="0" collapsed="false">
      <c r="A41" s="18" t="s">
        <v>121</v>
      </c>
    </row>
    <row r="42" customFormat="false" ht="15" hidden="false" customHeight="true" outlineLevel="0" collapsed="false">
      <c r="A42" s="19" t="s">
        <v>122</v>
      </c>
      <c r="B42" s="19" t="s">
        <v>92</v>
      </c>
    </row>
    <row r="43" customFormat="false" ht="15" hidden="false" customHeight="true" outlineLevel="0" collapsed="false">
      <c r="A43" s="10" t="s">
        <v>102</v>
      </c>
      <c r="B43" s="20" t="n">
        <f aca="false">ROUND(MAX(0,MIN(Konfigurace!$C$11,Konfigurace!$C$11*(3-Konfigurace!$B$21)/(Konfigurace!$B$22-Konfigurace!$B$21))),1)</f>
        <v>0</v>
      </c>
    </row>
    <row r="44" customFormat="false" ht="15" hidden="false" customHeight="true" outlineLevel="0" collapsed="false">
      <c r="A44" s="10" t="s">
        <v>103</v>
      </c>
      <c r="B44" s="20" t="n">
        <f aca="false">ROUND(MAX(0,MIN(Konfigurace!$C$11,Konfigurace!$C$11*(6-Konfigurace!$B$21)/(Konfigurace!$B$22-Konfigurace!$B$21))),1)</f>
        <v>1.2</v>
      </c>
    </row>
    <row r="45" customFormat="false" ht="15" hidden="false" customHeight="true" outlineLevel="0" collapsed="false">
      <c r="A45" s="10" t="s">
        <v>104</v>
      </c>
      <c r="B45" s="20" t="n">
        <f aca="false">ROUND(MAX(0,MIN(Konfigurace!$C$11,Konfigurace!$C$11*(9-Konfigurace!$B$21)/(Konfigurace!$B$22-Konfigurace!$B$21))),1)</f>
        <v>2.5</v>
      </c>
    </row>
    <row r="46" customFormat="false" ht="15" hidden="false" customHeight="true" outlineLevel="0" collapsed="false">
      <c r="A46" s="10" t="s">
        <v>105</v>
      </c>
      <c r="B46" s="20" t="n">
        <f aca="false">ROUND(MAX(0,MIN(Konfigurace!$C$11,Konfigurace!$C$11*(12-Konfigurace!$B$21)/(Konfigurace!$B$22-Konfigurace!$B$21))),1)</f>
        <v>3.7</v>
      </c>
    </row>
    <row r="47" customFormat="false" ht="15" hidden="false" customHeight="true" outlineLevel="0" collapsed="false">
      <c r="A47" s="10" t="s">
        <v>106</v>
      </c>
      <c r="B47" s="20" t="n">
        <f aca="false">ROUND(MAX(0,MIN(Konfigurace!$C$11,Konfigurace!$C$11*(15-Konfigurace!$B$21)/(Konfigurace!$B$22-Konfigurace!$B$21))),1)</f>
        <v>4.9</v>
      </c>
    </row>
    <row r="48" customFormat="false" ht="15" hidden="false" customHeight="true" outlineLevel="0" collapsed="false">
      <c r="A48" s="10" t="s">
        <v>107</v>
      </c>
      <c r="B48" s="20" t="n">
        <f aca="false">ROUND(MAX(0,MIN(Konfigurace!$C$11,Konfigurace!$C$11*(20-Konfigurace!$B$21)/(Konfigurace!$B$22-Konfigurace!$B$21))),1)</f>
        <v>7</v>
      </c>
    </row>
    <row r="50" customFormat="false" ht="15" hidden="false" customHeight="true" outlineLevel="0" collapsed="false">
      <c r="A50" s="18" t="s">
        <v>123</v>
      </c>
    </row>
    <row r="51" customFormat="false" ht="15" hidden="false" customHeight="true" outlineLevel="0" collapsed="false">
      <c r="A51" s="19" t="s">
        <v>124</v>
      </c>
      <c r="B51" s="19" t="s">
        <v>92</v>
      </c>
    </row>
    <row r="52" customFormat="false" ht="15" hidden="false" customHeight="true" outlineLevel="0" collapsed="false">
      <c r="A52" s="10" t="s">
        <v>93</v>
      </c>
      <c r="B52" s="20" t="n">
        <f aca="false">ROUND(MAX(0,MIN(Konfigurace!$C$12,Konfigurace!$C$12*(1-0/Konfigurace!$B$23))),1)</f>
        <v>5</v>
      </c>
    </row>
    <row r="53" customFormat="false" ht="15" hidden="false" customHeight="true" outlineLevel="0" collapsed="false">
      <c r="A53" s="10" t="s">
        <v>96</v>
      </c>
      <c r="B53" s="20" t="n">
        <f aca="false">ROUND(MAX(0,MIN(Konfigurace!$C$12,Konfigurace!$C$12*(1-3/Konfigurace!$B$23))),1)</f>
        <v>3.8</v>
      </c>
    </row>
    <row r="54" customFormat="false" ht="15" hidden="false" customHeight="true" outlineLevel="0" collapsed="false">
      <c r="A54" s="10" t="s">
        <v>99</v>
      </c>
      <c r="B54" s="20" t="n">
        <f aca="false">ROUND(MAX(0,MIN(Konfigurace!$C$12,Konfigurace!$C$12*(1-6/Konfigurace!$B$23))),1)</f>
        <v>2.5</v>
      </c>
    </row>
    <row r="55" customFormat="false" ht="15" hidden="false" customHeight="true" outlineLevel="0" collapsed="false">
      <c r="A55" s="10" t="s">
        <v>125</v>
      </c>
      <c r="B55" s="20" t="n">
        <f aca="false">ROUND(MAX(0,MIN(Konfigurace!$C$12,Konfigurace!$C$12*(1-9/Konfigurace!$B$23))),1)</f>
        <v>1.3</v>
      </c>
    </row>
    <row r="56" customFormat="false" ht="15" hidden="false" customHeight="true" outlineLevel="0" collapsed="false">
      <c r="A56" s="10" t="s">
        <v>126</v>
      </c>
      <c r="B56" s="20" t="n">
        <f aca="false">ROUND(MAX(0,MIN(Konfigurace!$C$12,Konfigurace!$C$12*(1-12/Konfigurace!$B$23))),1)</f>
        <v>0</v>
      </c>
    </row>
    <row r="58" customFormat="false" ht="15" hidden="false" customHeight="true" outlineLevel="0" collapsed="false">
      <c r="A58" s="18" t="s">
        <v>127</v>
      </c>
    </row>
    <row r="59" customFormat="false" ht="15" hidden="false" customHeight="true" outlineLevel="0" collapsed="false">
      <c r="A59" s="19" t="s">
        <v>128</v>
      </c>
      <c r="B59" s="19" t="s">
        <v>92</v>
      </c>
    </row>
    <row r="60" customFormat="false" ht="15" hidden="false" customHeight="true" outlineLevel="0" collapsed="false">
      <c r="A60" s="10" t="s">
        <v>129</v>
      </c>
      <c r="B60" s="20" t="n">
        <f aca="false">ROUND(MAX(0,MIN(Konfigurace!$C$14,Konfigurace!$C$14*(5*12-Konfigurace!$B$24)/(Konfigurace!$B$25-Konfigurace!$B$24))),1)</f>
        <v>0</v>
      </c>
    </row>
    <row r="61" customFormat="false" ht="15" hidden="false" customHeight="true" outlineLevel="0" collapsed="false">
      <c r="A61" s="10" t="s">
        <v>130</v>
      </c>
      <c r="B61" s="20" t="n">
        <f aca="false">ROUND(MAX(0,MIN(Konfigurace!$C$14,Konfigurace!$C$14*(10*12-Konfigurace!$B$24)/(Konfigurace!$B$25-Konfigurace!$B$24))),1)</f>
        <v>1</v>
      </c>
    </row>
    <row r="62" customFormat="false" ht="15" hidden="false" customHeight="true" outlineLevel="0" collapsed="false">
      <c r="A62" s="10" t="s">
        <v>131</v>
      </c>
      <c r="B62" s="20" t="n">
        <f aca="false">ROUND(MAX(0,MIN(Konfigurace!$C$14,Konfigurace!$C$14*(15*12-Konfigurace!$B$24)/(Konfigurace!$B$25-Konfigurace!$B$24))),1)</f>
        <v>2</v>
      </c>
    </row>
    <row r="63" customFormat="false" ht="15" hidden="false" customHeight="true" outlineLevel="0" collapsed="false">
      <c r="A63" s="10" t="s">
        <v>132</v>
      </c>
      <c r="B63" s="20" t="n">
        <f aca="false">ROUND(MAX(0,MIN(Konfigurace!$C$14,Konfigurace!$C$14*(20*12-Konfigurace!$B$24)/(Konfigurace!$B$25-Konfigurace!$B$24))),1)</f>
        <v>3</v>
      </c>
    </row>
    <row r="64" customFormat="false" ht="15" hidden="false" customHeight="true" outlineLevel="0" collapsed="false">
      <c r="A64" s="10" t="s">
        <v>133</v>
      </c>
      <c r="B64" s="20" t="n">
        <f aca="false">ROUND(MAX(0,MIN(Konfigurace!$C$14,Konfigurace!$C$14*(25*12-Konfigurace!$B$24)/(Konfigurace!$B$25-Konfigurace!$B$24))),1)</f>
        <v>4</v>
      </c>
    </row>
    <row r="65" customFormat="false" ht="15" hidden="false" customHeight="true" outlineLevel="0" collapsed="false">
      <c r="A65" s="10" t="s">
        <v>134</v>
      </c>
      <c r="B65" s="20" t="n">
        <f aca="false">ROUND(MAX(0,MIN(Konfigurace!$C$14,Konfigurace!$C$14*(30*12-Konfigurace!$B$24)/(Konfigurace!$B$25-Konfigurace!$B$24))),1)</f>
        <v>5</v>
      </c>
    </row>
    <row r="67" customFormat="false" ht="15" hidden="false" customHeight="true" outlineLevel="0" collapsed="false">
      <c r="A67" s="18" t="s">
        <v>135</v>
      </c>
    </row>
    <row r="68" customFormat="false" ht="15" hidden="false" customHeight="true" outlineLevel="0" collapsed="false">
      <c r="A68" s="19" t="s">
        <v>136</v>
      </c>
      <c r="B68" s="19" t="s">
        <v>92</v>
      </c>
    </row>
    <row r="69" customFormat="false" ht="15" hidden="false" customHeight="true" outlineLevel="0" collapsed="false">
      <c r="A69" s="10" t="s">
        <v>137</v>
      </c>
      <c r="B69" s="21" t="n">
        <f aca="false">0</f>
        <v>0</v>
      </c>
    </row>
    <row r="70" customFormat="false" ht="15" hidden="false" customHeight="true" outlineLevel="0" collapsed="false">
      <c r="A70" s="10" t="s">
        <v>138</v>
      </c>
      <c r="B70" s="21" t="n">
        <f aca="false">ROUND(MIN(Konfigurace!$C$13,2),1)</f>
        <v>2</v>
      </c>
    </row>
    <row r="71" customFormat="false" ht="15" hidden="false" customHeight="true" outlineLevel="0" collapsed="false">
      <c r="A71" s="10" t="s">
        <v>139</v>
      </c>
      <c r="B71" s="21" t="n">
        <f aca="false">ROUND(MIN(Konfigurace!$C$13,4),1)</f>
        <v>4</v>
      </c>
    </row>
    <row r="72" customFormat="false" ht="15" hidden="false" customHeight="true" outlineLevel="0" collapsed="false">
      <c r="A72" s="10" t="s">
        <v>140</v>
      </c>
      <c r="B72" s="21" t="n">
        <f aca="false">Konfigurace!$C$13</f>
        <v>5</v>
      </c>
    </row>
    <row r="74" customFormat="false" ht="15" hidden="false" customHeight="true" outlineLevel="0" collapsed="false">
      <c r="A74" s="18" t="s">
        <v>141</v>
      </c>
    </row>
    <row r="75" customFormat="false" ht="15" hidden="false" customHeight="true" outlineLevel="0" collapsed="false">
      <c r="A75" s="22" t="s">
        <v>142</v>
      </c>
    </row>
    <row r="76" customFormat="false" ht="15" hidden="false" customHeight="true" outlineLevel="0" collapsed="false">
      <c r="A76" s="23" t="s">
        <v>143</v>
      </c>
    </row>
    <row r="77" customFormat="false" ht="15" hidden="false" customHeight="true" outlineLevel="0" collapsed="false">
      <c r="A77" s="23" t="s">
        <v>144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2026-07-08T22:01:12Z</dcterms:created>
  <dc:creator>openpyxl</dc:creator>
  <dc:description/>
  <dc:language>en-US</dc:language>
  <cp:lastModifiedBy/>
  <dcterms:modified xsi:type="dcterms:W3CDTF">2026-07-11T10:37:47Z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