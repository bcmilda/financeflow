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alkulačka" sheetId="1" state="visible" r:id="rId3"/>
    <sheet name="Dokumentace vzorc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<sst xmlns="http://schemas.openxmlformats.org/spreadsheetml/2006/main" count="128" uniqueCount="110">
  <si>
    <t xml:space="preserve">🧠 Dluhový Stres Index — Kalkulačka</t>
  </si>
  <si>
    <t xml:space="preserve">VSTUPY (modré buňky vyplň; výpočty se aktualizují automaticky)</t>
  </si>
  <si>
    <t xml:space="preserve">Parametr</t>
  </si>
  <si>
    <t xml:space="preserve">Hodnota (Kč / počet)</t>
  </si>
  <si>
    <t xml:space="preserve">Jednotka</t>
  </si>
  <si>
    <t xml:space="preserve">Poznámka</t>
  </si>
  <si>
    <t xml:space="preserve">Měsíční příjem (čistý)</t>
  </si>
  <si>
    <t xml:space="preserve">Kč/měsíc</t>
  </si>
  <si>
    <t xml:space="preserve">Průměr posledních 3 měsíců</t>
  </si>
  <si>
    <t xml:space="preserve">Celkové měsíční splátky</t>
  </si>
  <si>
    <t xml:space="preserve">Suma všech půjček</t>
  </si>
  <si>
    <t xml:space="preserve">Celkový dluh (zbývající)</t>
  </si>
  <si>
    <t xml:space="preserve">Kč</t>
  </si>
  <si>
    <t xml:space="preserve">Suma d.remaining</t>
  </si>
  <si>
    <t xml:space="preserve">Počet půjček</t>
  </si>
  <si>
    <t xml:space="preserve">ks</t>
  </si>
  <si>
    <t xml:space="preserve">Počet aktivních dluhů</t>
  </si>
  <si>
    <t xml:space="preserve">Počet rizikových půjček</t>
  </si>
  <si>
    <t xml:space="preserve">Nebankovní nebo úrok &gt; 30 %</t>
  </si>
  <si>
    <t xml:space="preserve">Příjem minulý měsíc</t>
  </si>
  <si>
    <t xml:space="preserve">Pro výpočet trendu</t>
  </si>
  <si>
    <t xml:space="preserve">ODVOZENÉ HODNOTY</t>
  </si>
  <si>
    <t xml:space="preserve">Roční příjem (= měs. × 12)</t>
  </si>
  <si>
    <t xml:space="preserve">Kč/rok</t>
  </si>
  <si>
    <t xml:space="preserve">DSTI (splátky / příjem × 100)</t>
  </si>
  <si>
    <t xml:space="preserve">%</t>
  </si>
  <si>
    <t xml:space="preserve">ČNB limit: max 50 % (od 2023)</t>
  </si>
  <si>
    <t xml:space="preserve">DTI (dluh / roční příjem × 100)</t>
  </si>
  <si>
    <t xml:space="preserve">ČNB limit: max 900 %</t>
  </si>
  <si>
    <t xml:space="preserve">Trend příjmu vs. min. měsíc</t>
  </si>
  <si>
    <t xml:space="preserve">BODOVÁNÍ — 4 FAKTORY (0–25 bodů každý = max 100 bodů, vyšší = horší)</t>
  </si>
  <si>
    <t xml:space="preserve">Faktor</t>
  </si>
  <si>
    <t xml:space="preserve">Hodnota</t>
  </si>
  <si>
    <t xml:space="preserve">Body (0–25)</t>
  </si>
  <si>
    <t xml:space="preserve">Stav</t>
  </si>
  <si>
    <t xml:space="preserve">Prahové hodnoty</t>
  </si>
  <si>
    <t xml:space="preserve">1. DSTI — Zatížení příjmu</t>
  </si>
  <si>
    <t xml:space="preserve">&lt; 20% → 0 b | 20–35% → 10 b | 35–50% → 18 b | ≥ 50% → 25 b</t>
  </si>
  <si>
    <t xml:space="preserve">2. DTI — Celková zadluženost</t>
  </si>
  <si>
    <t xml:space="preserve">&lt; 300% → 0 b | 300–600% → 8 b | 600–900% → 16 b | ≥ 900% → 25 b</t>
  </si>
  <si>
    <t xml:space="preserve">3. Počet půjček</t>
  </si>
  <si>
    <t xml:space="preserve">≤ 1 → 0 b | 2 → 5 b | 3–4 → 15 b | ≥ 5 → 25 b</t>
  </si>
  <si>
    <t xml:space="preserve">4. Rizikové typy půjček</t>
  </si>
  <si>
    <t xml:space="preserve">0 → 0 b | 1 → 10 b | 2 → 18 b | ≥ 3 → 25 b</t>
  </si>
  <si>
    <t xml:space="preserve">Trend bonus/penalizace příjmu</t>
  </si>
  <si>
    <t xml:space="preserve">(−5 = bonus za růst, +5 = penál za pokles)</t>
  </si>
  <si>
    <t xml:space="preserve">&gt; +5% → −5 b | &lt; −5% → +5 b | jinak 0</t>
  </si>
  <si>
    <t xml:space="preserve">CELKOVÝ VÝSLEDEK</t>
  </si>
  <si>
    <t xml:space="preserve">Součet bodů (bez omezení)</t>
  </si>
  <si>
    <t xml:space="preserve">Výsledný stres index (min 0, max 100)</t>
  </si>
  <si>
    <t xml:space="preserve">Klasifikace</t>
  </si>
  <si>
    <t xml:space="preserve">Prahy</t>
  </si>
  <si>
    <t xml:space="preserve">&lt; 30 → Stabilní | 30–60 → Rizikové | &gt; 60 → Dluhová spirála</t>
  </si>
  <si>
    <t xml:space="preserve">Dluhový Stres Index — Dokumentace vzorce</t>
  </si>
  <si>
    <t xml:space="preserve">VZOREC</t>
  </si>
  <si>
    <t xml:space="preserve">PRAHY</t>
  </si>
  <si>
    <t xml:space="preserve">BODY</t>
  </si>
  <si>
    <t xml:space="preserve">POZNÁMKA</t>
  </si>
  <si>
    <t xml:space="preserve">DSTI = splátky/příjem × 100</t>
  </si>
  <si>
    <t xml:space="preserve">&lt; 20 %</t>
  </si>
  <si>
    <t xml:space="preserve">0</t>
  </si>
  <si>
    <t xml:space="preserve">ČNB doporučení max 50 %</t>
  </si>
  <si>
    <t xml:space="preserve">20 – 35 %</t>
  </si>
  <si>
    <t xml:space="preserve">10</t>
  </si>
  <si>
    <t xml:space="preserve">35 – 50 %</t>
  </si>
  <si>
    <t xml:space="preserve">18</t>
  </si>
  <si>
    <t xml:space="preserve">≥ 50 %</t>
  </si>
  <si>
    <t xml:space="preserve">25 = maximum</t>
  </si>
  <si>
    <t xml:space="preserve">Kritické přetížení</t>
  </si>
  <si>
    <t xml:space="preserve">DTI = dluh/roč. příjem × 100</t>
  </si>
  <si>
    <t xml:space="preserve">&lt; 300 %</t>
  </si>
  <si>
    <t xml:space="preserve">ČNB limit 900 %</t>
  </si>
  <si>
    <t xml:space="preserve">300 – 600 %</t>
  </si>
  <si>
    <t xml:space="preserve">8</t>
  </si>
  <si>
    <t xml:space="preserve">600 – 900 %</t>
  </si>
  <si>
    <t xml:space="preserve">16</t>
  </si>
  <si>
    <t xml:space="preserve">Blíží se ČNB limitu</t>
  </si>
  <si>
    <t xml:space="preserve">≥ 900 %</t>
  </si>
  <si>
    <t xml:space="preserve">Překračuje ČNB</t>
  </si>
  <si>
    <t xml:space="preserve">≤ 1</t>
  </si>
  <si>
    <t xml:space="preserve">Ideální stav</t>
  </si>
  <si>
    <t xml:space="preserve">2</t>
  </si>
  <si>
    <t xml:space="preserve">5</t>
  </si>
  <si>
    <t xml:space="preserve">3 – 4</t>
  </si>
  <si>
    <t xml:space="preserve">15</t>
  </si>
  <si>
    <t xml:space="preserve">Více půjček — rizikové</t>
  </si>
  <si>
    <t xml:space="preserve">≥ 5</t>
  </si>
  <si>
    <t xml:space="preserve">Příliš mnoho</t>
  </si>
  <si>
    <t xml:space="preserve">Rizikové typy (nebank., úrok &gt; 30%)</t>
  </si>
  <si>
    <t xml:space="preserve">Žádné rizikové</t>
  </si>
  <si>
    <t xml:space="preserve">1</t>
  </si>
  <si>
    <t xml:space="preserve">≥ 3</t>
  </si>
  <si>
    <t xml:space="preserve">&gt; +5 %</t>
  </si>
  <si>
    <t xml:space="preserve">−5 (bonus)</t>
  </si>
  <si>
    <t xml:space="preserve">Příjem roste → lepší</t>
  </si>
  <si>
    <t xml:space="preserve">−5 % až +5 %</t>
  </si>
  <si>
    <t xml:space="preserve">Stabilní</t>
  </si>
  <si>
    <t xml:space="preserve">&lt; −5 %</t>
  </si>
  <si>
    <t xml:space="preserve">+5 (penalizace)</t>
  </si>
  <si>
    <t xml:space="preserve">Příjem klesá → horší</t>
  </si>
  <si>
    <t xml:space="preserve">CELKEM (min/max)</t>
  </si>
  <si>
    <t xml:space="preserve">0 – 100</t>
  </si>
  <si>
    <t xml:space="preserve">MAX(0,MIN(100, suma))</t>
  </si>
  <si>
    <t xml:space="preserve">Vyšší = horší situace</t>
  </si>
  <si>
    <t xml:space="preserve">&lt; 30</t>
  </si>
  <si>
    <t xml:space="preserve">🟢 Stabilní</t>
  </si>
  <si>
    <t xml:space="preserve">30 – 60</t>
  </si>
  <si>
    <t xml:space="preserve">🟡 Rizikové</t>
  </si>
  <si>
    <t xml:space="preserve">&gt; 60</t>
  </si>
  <si>
    <t xml:space="preserve">🔴 Dluhová spirála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</si>
</sst>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"/>
    <numFmt numFmtId="167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7DD34F"/>
      <name val="Arial"/>
      <family val="0"/>
      <charset val="1"/>
    </font>
    <font>
      <b val="true"/>
      <sz val="10"/>
      <color rgb="FF93C5FD"/>
      <name val="Arial"/>
      <family val="0"/>
      <charset val="1"/>
    </font>
    <font>
      <b val="true"/>
      <sz val="10"/>
      <color rgb="FFCBD5E1"/>
      <name val="Arial"/>
      <family val="0"/>
      <charset val="1"/>
    </font>
    <font>
      <sz val="10"/>
      <color rgb="FF334155"/>
      <name val="Arial"/>
      <family val="0"/>
      <charset val="1"/>
    </font>
    <font>
      <sz val="11"/>
      <color rgb="FF0000FF"/>
      <name val="Arial"/>
      <family val="0"/>
      <charset val="1"/>
    </font>
    <font>
      <sz val="10"/>
      <color rgb="FF64748B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0"/>
      <color rgb="FF334155"/>
      <name val="Arial"/>
      <family val="0"/>
      <charset val="1"/>
    </font>
    <font>
      <b val="true"/>
      <sz val="11"/>
      <color rgb="FF7DD34F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4"/>
      <color rgb="FFFF4444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1E293B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F172A"/>
        <bgColor rgb="FF1E293B"/>
      </patternFill>
    </fill>
    <fill>
      <patternFill patternType="solid">
        <fgColor rgb="FF1E3A5F"/>
        <bgColor rgb="FF334155"/>
      </patternFill>
    </fill>
    <fill>
      <patternFill patternType="solid">
        <fgColor rgb="FF1E293B"/>
        <bgColor rgb="FF0F172A"/>
      </patternFill>
    </fill>
    <fill>
      <patternFill patternType="solid">
        <fgColor rgb="FF334155"/>
        <bgColor rgb="FF1E3A5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3C5FD"/>
      <rgbColor rgb="FFFF99CC"/>
      <rgbColor rgb="FFCC99FF"/>
      <rgbColor rgb="FFFFCC99"/>
      <rgbColor rgb="FF3366FF"/>
      <rgbColor rgb="FF33CCCC"/>
      <rgbColor rgb="FF7DD34F"/>
      <rgbColor rgb="FFFFCC00"/>
      <rgbColor rgb="FFFF9900"/>
      <rgbColor rgb="FFFF4444"/>
      <rgbColor rgb="FF64748B"/>
      <rgbColor rgb="FF969696"/>
      <rgbColor rgb="FF1E3A5F"/>
      <rgbColor rgb="FF339966"/>
      <rgbColor rgb="FF0F172A"/>
      <rgbColor rgb="FF333300"/>
      <rgbColor rgb="FF993300"/>
      <rgbColor rgb="FF993366"/>
      <rgbColor rgb="FF334155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16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</row>
    <row r="3" customFormat="false" ht="21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/>
    </row>
    <row r="4" customFormat="false" ht="21.75" hidden="false" customHeight="true" outlineLevel="0" collapsed="false">
      <c r="A4" s="4" t="s">
        <v>6</v>
      </c>
      <c r="B4" s="5" t="n">
        <v>53931</v>
      </c>
      <c r="C4" s="6" t="s">
        <v>7</v>
      </c>
      <c r="D4" s="6" t="s">
        <v>8</v>
      </c>
    </row>
    <row r="5" customFormat="false" ht="21.75" hidden="false" customHeight="true" outlineLevel="0" collapsed="false">
      <c r="A5" s="4" t="s">
        <v>9</v>
      </c>
      <c r="B5" s="5" t="n">
        <v>61952</v>
      </c>
      <c r="C5" s="6" t="s">
        <v>7</v>
      </c>
      <c r="D5" s="6" t="s">
        <v>10</v>
      </c>
    </row>
    <row r="6" customFormat="false" ht="21.75" hidden="false" customHeight="true" outlineLevel="0" collapsed="false">
      <c r="A6" s="4" t="s">
        <v>11</v>
      </c>
      <c r="B6" s="5" t="n">
        <v>4834000</v>
      </c>
      <c r="C6" s="6" t="s">
        <v>12</v>
      </c>
      <c r="D6" s="6" t="s">
        <v>13</v>
      </c>
    </row>
    <row r="7" customFormat="false" ht="21.75" hidden="false" customHeight="true" outlineLevel="0" collapsed="false">
      <c r="A7" s="4" t="s">
        <v>14</v>
      </c>
      <c r="B7" s="7" t="n">
        <v>4</v>
      </c>
      <c r="C7" s="6" t="s">
        <v>15</v>
      </c>
      <c r="D7" s="6" t="s">
        <v>16</v>
      </c>
    </row>
    <row r="8" customFormat="false" ht="21.75" hidden="false" customHeight="true" outlineLevel="0" collapsed="false">
      <c r="A8" s="4" t="s">
        <v>17</v>
      </c>
      <c r="B8" s="7" t="n">
        <v>0</v>
      </c>
      <c r="C8" s="6" t="s">
        <v>15</v>
      </c>
      <c r="D8" s="6" t="s">
        <v>18</v>
      </c>
    </row>
    <row r="9" customFormat="false" ht="21.75" hidden="false" customHeight="true" outlineLevel="0" collapsed="false">
      <c r="A9" s="4" t="s">
        <v>19</v>
      </c>
      <c r="B9" s="5" t="n">
        <v>53931</v>
      </c>
      <c r="C9" s="6" t="s">
        <v>7</v>
      </c>
      <c r="D9" s="6" t="s">
        <v>20</v>
      </c>
    </row>
    <row r="10" customFormat="false" ht="21.75" hidden="false" customHeight="true" outlineLevel="0" collapsed="false">
      <c r="A10" s="8" t="s">
        <v>21</v>
      </c>
      <c r="B10" s="8"/>
      <c r="C10" s="8"/>
      <c r="D10" s="8"/>
      <c r="E10" s="8"/>
    </row>
    <row r="11" customFormat="false" ht="21.75" hidden="false" customHeight="true" outlineLevel="0" collapsed="false">
      <c r="A11" s="4" t="s">
        <v>22</v>
      </c>
      <c r="B11" s="9" t="n">
        <f aca="false">B4*12</f>
        <v>647172</v>
      </c>
      <c r="C11" s="4" t="s">
        <v>23</v>
      </c>
    </row>
    <row r="12" customFormat="false" ht="21.75" hidden="false" customHeight="true" outlineLevel="0" collapsed="false">
      <c r="A12" s="4" t="s">
        <v>24</v>
      </c>
      <c r="B12" s="10" t="n">
        <f aca="false">IF(B4&gt;0,B5/B4*100,0)</f>
        <v>114.872707719123</v>
      </c>
      <c r="C12" s="4" t="s">
        <v>25</v>
      </c>
      <c r="D12" s="6" t="s">
        <v>26</v>
      </c>
    </row>
    <row r="13" customFormat="false" ht="21.75" hidden="false" customHeight="true" outlineLevel="0" collapsed="false">
      <c r="A13" s="4" t="s">
        <v>27</v>
      </c>
      <c r="B13" s="10" t="n">
        <f aca="false">IF(B11&gt;0,B6/B11*100,0)</f>
        <v>746.942080312498</v>
      </c>
      <c r="C13" s="4" t="s">
        <v>25</v>
      </c>
      <c r="D13" s="6" t="s">
        <v>28</v>
      </c>
    </row>
    <row r="14" customFormat="false" ht="21.75" hidden="false" customHeight="true" outlineLevel="0" collapsed="false">
      <c r="A14" s="4" t="s">
        <v>29</v>
      </c>
      <c r="B14" s="10" t="n">
        <f aca="false">IF(B9&gt;0,(B4-B9)/B9*100,0)</f>
        <v>0</v>
      </c>
      <c r="C14" s="4" t="s">
        <v>25</v>
      </c>
    </row>
    <row r="15" customFormat="false" ht="21.75" hidden="false" customHeight="true" outlineLevel="0" collapsed="false"/>
    <row r="16" customFormat="false" ht="21.75" hidden="false" customHeight="true" outlineLevel="0" collapsed="false">
      <c r="A16" s="8" t="s">
        <v>30</v>
      </c>
      <c r="B16" s="8"/>
      <c r="C16" s="8"/>
      <c r="D16" s="8"/>
      <c r="E16" s="8"/>
    </row>
    <row r="17" customFormat="false" ht="21.75" hidden="false" customHeight="true" outlineLevel="0" collapsed="false">
      <c r="A17" s="11" t="s">
        <v>31</v>
      </c>
      <c r="B17" s="11" t="s">
        <v>32</v>
      </c>
      <c r="C17" s="11" t="s">
        <v>33</v>
      </c>
      <c r="D17" s="11" t="s">
        <v>34</v>
      </c>
      <c r="E17" s="11" t="s">
        <v>35</v>
      </c>
    </row>
    <row r="18" customFormat="false" ht="21.75" hidden="false" customHeight="true" outlineLevel="0" collapsed="false">
      <c r="A18" s="12" t="s">
        <v>36</v>
      </c>
      <c r="B18" s="10" t="n">
        <f aca="false">B12</f>
        <v>114.872707719123</v>
      </c>
      <c r="C18" s="13" t="n">
        <f aca="false">IF(B12&lt;20,0,IF(B12&lt;35,10,IF(B12&lt;50,18,25)))</f>
        <v>25</v>
      </c>
      <c r="D18" s="13" t="str">
        <f aca="false">IF(B12&lt;35,"✅ OK",IF(B12&lt;50,"⚠️ Zvýšené","🚨 Kritické"))</f>
        <v>🚨 Kritické</v>
      </c>
      <c r="E18" s="6" t="s">
        <v>37</v>
      </c>
    </row>
    <row r="19" customFormat="false" ht="21.75" hidden="false" customHeight="true" outlineLevel="0" collapsed="false">
      <c r="A19" s="12" t="s">
        <v>38</v>
      </c>
      <c r="B19" s="10" t="n">
        <f aca="false">B13</f>
        <v>746.942080312498</v>
      </c>
      <c r="C19" s="13" t="n">
        <f aca="false">IF(B13&lt;300,0,IF(B13&lt;600,8,IF(B13&lt;900,16,25)))</f>
        <v>16</v>
      </c>
      <c r="D19" s="13" t="str">
        <f aca="false">IF(B13&lt;600,"✅ OK",IF(B13&lt;900,"⚠️ Blíží se limitu","🚨 Překračuje ČNB"))</f>
        <v>⚠️ Blíží se limitu</v>
      </c>
      <c r="E19" s="6" t="s">
        <v>39</v>
      </c>
    </row>
    <row r="20" customFormat="false" ht="21.75" hidden="false" customHeight="true" outlineLevel="0" collapsed="false">
      <c r="A20" s="12" t="s">
        <v>40</v>
      </c>
      <c r="B20" s="10" t="n">
        <f aca="false">B7</f>
        <v>4</v>
      </c>
      <c r="C20" s="13" t="n">
        <f aca="false">IF(B7&lt;=1,0,IF(B7&lt;=2,5,IF(B7&lt;=4,15,25)))</f>
        <v>15</v>
      </c>
      <c r="D20" s="13" t="str">
        <f aca="false">IF(B7&lt;=2,"✅ OK",IF(B7&lt;=4,"⚠️ Více půjček","🚨 Příliš mnoho"))</f>
        <v>⚠️ Více půjček</v>
      </c>
      <c r="E20" s="6" t="s">
        <v>41</v>
      </c>
    </row>
    <row r="21" customFormat="false" ht="21.75" hidden="false" customHeight="true" outlineLevel="0" collapsed="false">
      <c r="A21" s="12" t="s">
        <v>42</v>
      </c>
      <c r="B21" s="10" t="n">
        <f aca="false">B8</f>
        <v>0</v>
      </c>
      <c r="C21" s="13" t="n">
        <f aca="false">IF(B8=0,0,IF(B8=1,10,IF(B8=2,18,25)))</f>
        <v>0</v>
      </c>
      <c r="D21" s="13" t="str">
        <f aca="false">IF(B8=0,"✅ Žádné",IF(B8=1,"⚠️ 1 riziková","🚨 Více rizikových"))</f>
        <v>✅ Žádné</v>
      </c>
      <c r="E21" s="6" t="s">
        <v>43</v>
      </c>
    </row>
    <row r="22" customFormat="false" ht="21.75" hidden="false" customHeight="true" outlineLevel="0" collapsed="false">
      <c r="A22" s="6" t="s">
        <v>44</v>
      </c>
      <c r="B22" s="10" t="n">
        <f aca="false">B14</f>
        <v>0</v>
      </c>
      <c r="C22" s="13" t="n">
        <f aca="false">IF(B14&gt;5,-5,IF(B14&lt;-5,5,0))</f>
        <v>0</v>
      </c>
      <c r="D22" s="6" t="s">
        <v>45</v>
      </c>
      <c r="E22" s="6" t="s">
        <v>46</v>
      </c>
    </row>
    <row r="23" customFormat="false" ht="21.75" hidden="false" customHeight="true" outlineLevel="0" collapsed="false"/>
    <row r="24" customFormat="false" ht="21.75" hidden="false" customHeight="true" outlineLevel="0" collapsed="false">
      <c r="A24" s="14" t="s">
        <v>47</v>
      </c>
      <c r="B24" s="14"/>
      <c r="C24" s="14"/>
      <c r="D24" s="14"/>
      <c r="E24" s="14"/>
    </row>
    <row r="25" customFormat="false" ht="21.75" hidden="false" customHeight="true" outlineLevel="0" collapsed="false">
      <c r="A25" s="12" t="s">
        <v>48</v>
      </c>
      <c r="B25" s="15" t="n">
        <f aca="false">C18+C19+C20+C21+C22</f>
        <v>56</v>
      </c>
    </row>
    <row r="26" customFormat="false" ht="21.75" hidden="false" customHeight="true" outlineLevel="0" collapsed="false">
      <c r="A26" s="12" t="s">
        <v>49</v>
      </c>
      <c r="B26" s="16" t="n">
        <f aca="false">MAX(0,MIN(100,B25))</f>
        <v>56</v>
      </c>
    </row>
    <row r="27" customFormat="false" ht="21.75" hidden="false" customHeight="true" outlineLevel="0" collapsed="false">
      <c r="A27" s="4" t="s">
        <v>50</v>
      </c>
      <c r="B27" s="15" t="str">
        <f aca="false">IF(B26&lt;30,"🟢 Stabilní",IF(B26&lt;60,"🟡 Rizikové","🔴 Dluhová spirála"))</f>
        <v>🟡 Rizikové</v>
      </c>
    </row>
    <row r="28" customFormat="false" ht="21.75" hidden="false" customHeight="true" outlineLevel="0" collapsed="false">
      <c r="A28" s="4" t="s">
        <v>51</v>
      </c>
      <c r="B28" s="6" t="s">
        <v>52</v>
      </c>
    </row>
    <row r="29" customFormat="false" ht="21.75" hidden="false" customHeight="true" outlineLevel="0" collapsed="false"/>
  </sheetData>
  <mergeCells count="5">
    <mergeCell ref="A1:E1"/>
    <mergeCell ref="A2:E2"/>
    <mergeCell ref="A10:E10"/>
    <mergeCell ref="A16:E16"/>
    <mergeCell ref="A24:E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20"/>
    <col collapsed="false" customWidth="true" hidden="false" outlineLevel="0" max="4" min="4" style="0" width="30"/>
  </cols>
  <sheetData>
    <row r="1" customFormat="false" ht="31.5" hidden="false" customHeight="true" outlineLevel="0" collapsed="false">
      <c r="A1" s="17" t="s">
        <v>53</v>
      </c>
      <c r="B1" s="17"/>
      <c r="C1" s="17"/>
      <c r="D1" s="17"/>
    </row>
    <row r="2" customFormat="false" ht="19.5" hidden="false" customHeight="true" outlineLevel="0" collapsed="false">
      <c r="A2" s="18" t="s">
        <v>54</v>
      </c>
      <c r="B2" s="18" t="s">
        <v>55</v>
      </c>
      <c r="C2" s="18" t="s">
        <v>56</v>
      </c>
      <c r="D2" s="18" t="s">
        <v>57</v>
      </c>
    </row>
    <row r="3" customFormat="false" ht="19.5" hidden="false" customHeight="true" outlineLevel="0" collapsed="false">
      <c r="A3" s="19" t="s">
        <v>58</v>
      </c>
      <c r="B3" s="19" t="s">
        <v>59</v>
      </c>
      <c r="C3" s="19" t="s">
        <v>60</v>
      </c>
      <c r="D3" s="19" t="s">
        <v>61</v>
      </c>
    </row>
    <row r="4" customFormat="false" ht="19.5" hidden="false" customHeight="true" outlineLevel="0" collapsed="false">
      <c r="A4" s="19"/>
      <c r="B4" s="19" t="s">
        <v>62</v>
      </c>
      <c r="C4" s="19" t="s">
        <v>63</v>
      </c>
      <c r="D4" s="19"/>
    </row>
    <row r="5" customFormat="false" ht="19.5" hidden="false" customHeight="true" outlineLevel="0" collapsed="false">
      <c r="A5" s="19"/>
      <c r="B5" s="19" t="s">
        <v>64</v>
      </c>
      <c r="C5" s="19" t="s">
        <v>65</v>
      </c>
      <c r="D5" s="19"/>
    </row>
    <row r="6" customFormat="false" ht="19.5" hidden="false" customHeight="true" outlineLevel="0" collapsed="false">
      <c r="A6" s="19"/>
      <c r="B6" s="19" t="s">
        <v>66</v>
      </c>
      <c r="C6" s="19" t="s">
        <v>67</v>
      </c>
      <c r="D6" s="19" t="s">
        <v>68</v>
      </c>
    </row>
    <row r="7" customFormat="false" ht="19.5" hidden="false" customHeight="true" outlineLevel="0" collapsed="false">
      <c r="A7" s="19" t="s">
        <v>69</v>
      </c>
      <c r="B7" s="19" t="s">
        <v>70</v>
      </c>
      <c r="C7" s="19" t="s">
        <v>60</v>
      </c>
      <c r="D7" s="19" t="s">
        <v>71</v>
      </c>
    </row>
    <row r="8" customFormat="false" ht="19.5" hidden="false" customHeight="true" outlineLevel="0" collapsed="false">
      <c r="A8" s="19"/>
      <c r="B8" s="19" t="s">
        <v>72</v>
      </c>
      <c r="C8" s="19" t="s">
        <v>73</v>
      </c>
      <c r="D8" s="19"/>
    </row>
    <row r="9" customFormat="false" ht="19.5" hidden="false" customHeight="true" outlineLevel="0" collapsed="false">
      <c r="A9" s="19"/>
      <c r="B9" s="19" t="s">
        <v>74</v>
      </c>
      <c r="C9" s="19" t="s">
        <v>75</v>
      </c>
      <c r="D9" s="19" t="s">
        <v>76</v>
      </c>
    </row>
    <row r="10" customFormat="false" ht="19.5" hidden="false" customHeight="true" outlineLevel="0" collapsed="false">
      <c r="A10" s="19"/>
      <c r="B10" s="19" t="s">
        <v>77</v>
      </c>
      <c r="C10" s="19" t="s">
        <v>67</v>
      </c>
      <c r="D10" s="19" t="s">
        <v>78</v>
      </c>
    </row>
    <row r="11" customFormat="false" ht="19.5" hidden="false" customHeight="true" outlineLevel="0" collapsed="false">
      <c r="A11" s="19" t="s">
        <v>14</v>
      </c>
      <c r="B11" s="19" t="s">
        <v>79</v>
      </c>
      <c r="C11" s="19" t="s">
        <v>60</v>
      </c>
      <c r="D11" s="19" t="s">
        <v>80</v>
      </c>
    </row>
    <row r="12" customFormat="false" ht="19.5" hidden="false" customHeight="true" outlineLevel="0" collapsed="false">
      <c r="A12" s="19"/>
      <c r="B12" s="19" t="s">
        <v>81</v>
      </c>
      <c r="C12" s="19" t="s">
        <v>82</v>
      </c>
      <c r="D12" s="19"/>
    </row>
    <row r="13" customFormat="false" ht="19.5" hidden="false" customHeight="true" outlineLevel="0" collapsed="false">
      <c r="A13" s="19"/>
      <c r="B13" s="19" t="s">
        <v>83</v>
      </c>
      <c r="C13" s="19" t="s">
        <v>84</v>
      </c>
      <c r="D13" s="19" t="s">
        <v>85</v>
      </c>
    </row>
    <row r="14" customFormat="false" ht="19.5" hidden="false" customHeight="true" outlineLevel="0" collapsed="false">
      <c r="A14" s="19"/>
      <c r="B14" s="19" t="s">
        <v>86</v>
      </c>
      <c r="C14" s="19" t="s">
        <v>67</v>
      </c>
      <c r="D14" s="19" t="s">
        <v>87</v>
      </c>
    </row>
    <row r="15" customFormat="false" ht="19.5" hidden="false" customHeight="true" outlineLevel="0" collapsed="false">
      <c r="A15" s="19" t="s">
        <v>88</v>
      </c>
      <c r="B15" s="19" t="s">
        <v>60</v>
      </c>
      <c r="C15" s="19" t="s">
        <v>60</v>
      </c>
      <c r="D15" s="19" t="s">
        <v>89</v>
      </c>
    </row>
    <row r="16" customFormat="false" ht="19.5" hidden="false" customHeight="true" outlineLevel="0" collapsed="false">
      <c r="A16" s="19"/>
      <c r="B16" s="19" t="s">
        <v>90</v>
      </c>
      <c r="C16" s="19" t="s">
        <v>63</v>
      </c>
      <c r="D16" s="19"/>
    </row>
    <row r="17" customFormat="false" ht="19.5" hidden="false" customHeight="true" outlineLevel="0" collapsed="false">
      <c r="A17" s="19"/>
      <c r="B17" s="19" t="s">
        <v>81</v>
      </c>
      <c r="C17" s="19" t="s">
        <v>65</v>
      </c>
      <c r="D17" s="19"/>
    </row>
    <row r="18" customFormat="false" ht="19.5" hidden="false" customHeight="true" outlineLevel="0" collapsed="false">
      <c r="A18" s="19"/>
      <c r="B18" s="19" t="s">
        <v>91</v>
      </c>
      <c r="C18" s="19" t="s">
        <v>67</v>
      </c>
      <c r="D18" s="19"/>
    </row>
    <row r="19" customFormat="false" ht="19.5" hidden="false" customHeight="true" outlineLevel="0" collapsed="false">
      <c r="A19" s="19" t="s">
        <v>29</v>
      </c>
      <c r="B19" s="19" t="s">
        <v>92</v>
      </c>
      <c r="C19" s="19" t="s">
        <v>93</v>
      </c>
      <c r="D19" s="19" t="s">
        <v>94</v>
      </c>
    </row>
    <row r="20" customFormat="false" ht="19.5" hidden="false" customHeight="true" outlineLevel="0" collapsed="false">
      <c r="A20" s="19"/>
      <c r="B20" s="19" t="s">
        <v>95</v>
      </c>
      <c r="C20" s="19" t="s">
        <v>60</v>
      </c>
      <c r="D20" s="19" t="s">
        <v>96</v>
      </c>
    </row>
    <row r="21" customFormat="false" ht="19.5" hidden="false" customHeight="true" outlineLevel="0" collapsed="false">
      <c r="A21" s="19"/>
      <c r="B21" s="19" t="s">
        <v>97</v>
      </c>
      <c r="C21" s="19" t="s">
        <v>98</v>
      </c>
      <c r="D21" s="19" t="s">
        <v>99</v>
      </c>
    </row>
    <row r="22" customFormat="false" ht="19.5" hidden="false" customHeight="true" outlineLevel="0" collapsed="false">
      <c r="A22" s="19" t="s">
        <v>100</v>
      </c>
      <c r="B22" s="19" t="s">
        <v>101</v>
      </c>
      <c r="C22" s="19" t="s">
        <v>102</v>
      </c>
      <c r="D22" s="19" t="s">
        <v>103</v>
      </c>
    </row>
    <row r="23" customFormat="false" ht="19.5" hidden="false" customHeight="true" outlineLevel="0" collapsed="false">
      <c r="A23" s="19"/>
      <c r="B23" s="19" t="s">
        <v>104</v>
      </c>
      <c r="C23" s="19" t="s">
        <v>105</v>
      </c>
      <c r="D23" s="19"/>
    </row>
    <row r="24" customFormat="false" ht="19.5" hidden="false" customHeight="true" outlineLevel="0" collapsed="false">
      <c r="A24" s="19"/>
      <c r="B24" s="19" t="s">
        <v>106</v>
      </c>
      <c r="C24" s="19" t="s">
        <v>107</v>
      </c>
      <c r="D24" s="19"/>
    </row>
    <row r="25" customFormat="false" ht="19.5" hidden="false" customHeight="true" outlineLevel="0" collapsed="false">
      <c r="A25" s="19"/>
      <c r="B25" s="19" t="s">
        <v>108</v>
      </c>
      <c r="C25" s="19" t="s">
        <v>109</v>
      </c>
      <c r="D25" s="19"/>
    </row>
    <row r="26" customFormat="false" ht="19.5" hidden="false" customHeight="true" outlineLevel="0" collapsed="false"/>
    <row r="27" customFormat="false" ht="19.5" hidden="false" customHeight="true" outlineLevel="0" collapsed="false"/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2026-06-06T16:32:52Z</dcterms:created>
  <dc:creator>openpyxl</dc:creator>
  <dc:description/>
  <dc:language>en-US</dc:language>
  <cp:lastModifiedBy/>
  <dcterms:modified xsi:type="dcterms:W3CDTF">2026-06-06T16:32:52Z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