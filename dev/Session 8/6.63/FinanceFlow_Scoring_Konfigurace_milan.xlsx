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lan\Desktop\"/>
    </mc:Choice>
  </mc:AlternateContent>
  <xr:revisionPtr revIDLastSave="0" documentId="13_ncr:1_{25989E89-78AA-4193-A869-C71903E40317}" xr6:coauthVersionLast="47" xr6:coauthVersionMax="47" xr10:uidLastSave="{00000000-0000-0000-0000-000000000000}"/>
  <bookViews>
    <workbookView xWindow="975" yWindow="0" windowWidth="21945" windowHeight="15150" tabRatio="500" activeTab="2" xr2:uid="{00000000-000D-0000-FFFF-FFFF00000000}"/>
  </bookViews>
  <sheets>
    <sheet name="1. Finanční skóre" sheetId="1" r:id="rId1"/>
    <sheet name="2. Finanční zdraví" sheetId="2" r:id="rId2"/>
    <sheet name="3. Finanční obraz" sheetId="3" r:id="rId3"/>
    <sheet name="4. Konfigurace kategorií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1" l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C85" i="2"/>
  <c r="C35" i="2"/>
  <c r="C34" i="2"/>
  <c r="C8" i="2"/>
  <c r="C7" i="2"/>
  <c r="D59" i="1"/>
  <c r="D58" i="1"/>
  <c r="D57" i="1"/>
  <c r="D56" i="1"/>
  <c r="D55" i="1"/>
  <c r="D51" i="1"/>
  <c r="D50" i="1"/>
  <c r="D49" i="1"/>
  <c r="D48" i="1"/>
  <c r="D41" i="1"/>
  <c r="D37" i="1"/>
  <c r="D35" i="1"/>
  <c r="D30" i="1"/>
  <c r="D24" i="1"/>
  <c r="D20" i="1"/>
  <c r="D19" i="1"/>
  <c r="D16" i="1"/>
  <c r="D10" i="1"/>
  <c r="D6" i="1"/>
</calcChain>
</file>

<file path=xl/sharedStrings.xml><?xml version="1.0" encoding="utf-8"?>
<sst xmlns="http://schemas.openxmlformats.org/spreadsheetml/2006/main" count="580" uniqueCount="411">
  <si>
    <t>📊 SYSTÉM 1: Finanční skóre (Dashboard widget)</t>
  </si>
  <si>
    <t>Hodnotí AKTUÁLNÍ měsíc (4 složky × 25 bodů = max 100). Zobrazuje se v kartě 'Finanční skóre' na Dashboardu.</t>
  </si>
  <si>
    <t>SLOŽKA 1: Příjmy vs Výdaje  (max 25 bodů)</t>
  </si>
  <si>
    <t>Podmínka (expRatio = Výdaje / Příjmy)</t>
  </si>
  <si>
    <t>Body</t>
  </si>
  <si>
    <t>Max bodů</t>
  </si>
  <si>
    <t>Celkem bodů z max</t>
  </si>
  <si>
    <t>Barva</t>
  </si>
  <si>
    <t>Poznámka</t>
  </si>
  <si>
    <t>expRatio ≤ 0.50  (výdaje max 50 % příjmů)</t>
  </si>
  <si>
    <t>4ADE80</t>
  </si>
  <si>
    <t>Výborné — spoříš ≥50 % příjmu</t>
  </si>
  <si>
    <t>expRatio ≤ 0.70  (výdaje max 70 % příjmů)</t>
  </si>
  <si>
    <t>Výborné — bezpečná zóna</t>
  </si>
  <si>
    <t>FBBF24</t>
  </si>
  <si>
    <t>Dobré</t>
  </si>
  <si>
    <t>expRatio ≤ 1.00  (výdaje ≤ 100 % příjmů)</t>
  </si>
  <si>
    <t>Slabé — téměř v nule</t>
  </si>
  <si>
    <t>F87171</t>
  </si>
  <si>
    <t>Kritické — záporné saldo</t>
  </si>
  <si>
    <t>Žádné příjmy (totalInc = 0)</t>
  </si>
  <si>
    <t>60A5FA</t>
  </si>
  <si>
    <t>Neutrální default (no data)</t>
  </si>
  <si>
    <t>SLOŽKA 2: Zadluženost  (max 25 bodů)</t>
  </si>
  <si>
    <t>Podmínka (DSTI = splátky/příjem, DTI = dluh/roční příjem)</t>
  </si>
  <si>
    <t>Celkem z max</t>
  </si>
  <si>
    <t>Žádné dluhy</t>
  </si>
  <si>
    <t>Ideální stav</t>
  </si>
  <si>
    <t>DSTI ≤ 20 % A DTI ≤ 300 %</t>
  </si>
  <si>
    <t>Nízká zátěž</t>
  </si>
  <si>
    <t>DSTI ≤ 35 % A DTI ≤ 600 %</t>
  </si>
  <si>
    <t>Střední zátěž</t>
  </si>
  <si>
    <t>DSTI ≤ 50 % A DTI ≤ 900 %</t>
  </si>
  <si>
    <t>FB923C</t>
  </si>
  <si>
    <t>Vysoká zátěž</t>
  </si>
  <si>
    <t>Kritické — hrozí nesplácení</t>
  </si>
  <si>
    <t>SLOŽKA 3: Úspory &amp; Rezerva  (max 25 bodů)</t>
  </si>
  <si>
    <t>Podmínka (savingRate = (Příjmy-Výdaje)/Příjmy, monthsReserve = Úspory/baseIncome)</t>
  </si>
  <si>
    <t>Výborné — rezerva na 3+ měsíce</t>
  </si>
  <si>
    <t>savingRate ≥ 10 % A monthsReserve ≥ 1 měsíc</t>
  </si>
  <si>
    <t>Slušné</t>
  </si>
  <si>
    <t>savingRate ≥ 5 % NEBO monthsReserve ≥ 0.5 měsíce</t>
  </si>
  <si>
    <t>Slabé</t>
  </si>
  <si>
    <t>totalInc = 0 (no data)</t>
  </si>
  <si>
    <t>Neutrální default</t>
  </si>
  <si>
    <t>Jinak (záporné saldo, žádné úspory)</t>
  </si>
  <si>
    <t>Kritické</t>
  </si>
  <si>
    <t>SLOŽKA 4: Trend  (max 25 bodů)</t>
  </si>
  <si>
    <t>Podmínka (srovnání aktuální vs předchozí 2 měsíce)</t>
  </si>
  <si>
    <t>3 ze 3: příjmy↑ A výdaje↓ A saldo↑ (vs min. měsíc)</t>
  </si>
  <si>
    <t>Plný soulad</t>
  </si>
  <si>
    <t>2 ze 3 kritérií splněno</t>
  </si>
  <si>
    <t>Dobrý trend</t>
  </si>
  <si>
    <t>1 ze 3 kritérií splněno</t>
  </si>
  <si>
    <t>Smíšený výsledek</t>
  </si>
  <si>
    <t>0 ze 3 kritérií splněno</t>
  </si>
  <si>
    <t>Zhoršující se trend</t>
  </si>
  <si>
    <t>Nedostatek dat (min. měsíce mají 0 příjmů)</t>
  </si>
  <si>
    <t>Default neutrální střed</t>
  </si>
  <si>
    <t>CELKOVÉ HODNOCENÍ FINANČNÍHO SKÓRE  (součet 4 složek)</t>
  </si>
  <si>
    <t>Celkový součet bodů (0–100)</t>
  </si>
  <si>
    <t>Min</t>
  </si>
  <si>
    <t>Max</t>
  </si>
  <si>
    <t>Emoji</t>
  </si>
  <si>
    <t>Label</t>
  </si>
  <si>
    <t>Barva textu</t>
  </si>
  <si>
    <t>Výborné</t>
  </si>
  <si>
    <t>🏆</t>
  </si>
  <si>
    <t>Velmi dobré</t>
  </si>
  <si>
    <t>⭐</t>
  </si>
  <si>
    <t>👍</t>
  </si>
  <si>
    <t>Průměrné</t>
  </si>
  <si>
    <t>📊</t>
  </si>
  <si>
    <t>Rizikové</t>
  </si>
  <si>
    <t>⚠️</t>
  </si>
  <si>
    <t>🚨</t>
  </si>
  <si>
    <t>💡 PŘÍKLAD: Tvůj Duben 2026</t>
  </si>
  <si>
    <t>Složka 1: Příjmy vs Výdaje</t>
  </si>
  <si>
    <t>41 159 / 31 594 = 130%</t>
  </si>
  <si>
    <t>→ 0/25 bodů</t>
  </si>
  <si>
    <t>Výdaje překračují příjmy</t>
  </si>
  <si>
    <t>Složka 2: Zadluženost</t>
  </si>
  <si>
    <t>DSTI závisí na splátkách</t>
  </si>
  <si>
    <t>→ záleží na dluzích</t>
  </si>
  <si>
    <t>Máš 4 834 000 Kč dluhů</t>
  </si>
  <si>
    <t>Složka 3: Úspory</t>
  </si>
  <si>
    <t>Saldo = -9 565 Kč</t>
  </si>
  <si>
    <t>→ 3/25 bodů</t>
  </si>
  <si>
    <t>Záporné saldo</t>
  </si>
  <si>
    <t>Složka 4: Trend</t>
  </si>
  <si>
    <t>vs Březen příjmy ↓ výdaje ↓</t>
  </si>
  <si>
    <t>→ 12/25</t>
  </si>
  <si>
    <t>Smíšený (výdaje klesly, ale příjmy taky)</t>
  </si>
  <si>
    <t>CELKEM (odhadovaný)</t>
  </si>
  <si>
    <t>~18/100</t>
  </si>
  <si>
    <t>→ 🚨 Kritické</t>
  </si>
  <si>
    <t>🏥 SYSTÉM 2A: Finanční zdraví (záložka Souhrn výdajů)</t>
  </si>
  <si>
    <t>Hodnotí zdraví aktuálního měsíce: PRŮMĚR 3 složek (Výdajové + Rozpočtové + Úsporové) / 3. Záleží na konfiguraci kategorií!</t>
  </si>
  <si>
    <t>SLOŽKA A: Výdajové zdraví  (0–100 bodů)</t>
  </si>
  <si>
    <t>Podmínka (ratio = Výdaje / Příjmy)</t>
  </si>
  <si>
    <t>Výpočet (lineární)</t>
  </si>
  <si>
    <t>Příklad ratio</t>
  </si>
  <si>
    <t>Dopad na Celkové skóre</t>
  </si>
  <si>
    <t>Žádné příjmy, žádné výdaje</t>
  </si>
  <si>
    <t>50 (neutrální)</t>
  </si>
  <si>
    <t>—</t>
  </si>
  <si>
    <t>1/3 × 50 = 16.7 bodů</t>
  </si>
  <si>
    <t>Žádné příjmy, výdaje &gt; 0</t>
  </si>
  <si>
    <t>1/3 × 0 = 0 bodů</t>
  </si>
  <si>
    <t>0.65</t>
  </si>
  <si>
    <t>1/3 × 100 = 33.3 bodů</t>
  </si>
  <si>
    <t>max(0, 40-(ratio-1.0)×40)</t>
  </si>
  <si>
    <t>1.30</t>
  </si>
  <si>
    <t>1/3 × 28 = 9.3 bodů</t>
  </si>
  <si>
    <t>SLOŽKA B: Rozpočtové zdraví  (0–100 bodů) — ZÁVISÍ NA NASTAVENÍ LIMITŮ KATEGORIÍ</t>
  </si>
  <si>
    <t>⚠️ KRITICKÉ: Pokud kategorie nemají nastavený limit (healthPct ani healthAmt), computeCatHealth vrátí null → výsledek = IGNOROVÁNA. Pokud žádná kategorie nemá limit → budgetScore = 75 (tvrdý default = nepravdivé hodnocení!)</t>
  </si>
  <si>
    <t>Podmínka (ratio = Utraceno / Limit kategorie)</t>
  </si>
  <si>
    <t>Skóre kategorie</t>
  </si>
  <si>
    <t>Výpočet</t>
  </si>
  <si>
    <t>Typ</t>
  </si>
  <si>
    <t>Kategorie NEMÁ limit (healthPct=0 a healthAmt=0)</t>
  </si>
  <si>
    <t>null → ignorována</t>
  </si>
  <si>
    <t>→ nepočítá se do průměru</t>
  </si>
  <si>
    <t>Výdajová</t>
  </si>
  <si>
    <t>94A3B8</t>
  </si>
  <si>
    <t>PROBLÉM: bez limitů = budgetScore = 75</t>
  </si>
  <si>
    <t>ratio = 0 (nic neutraceno)</t>
  </si>
  <si>
    <t>Neutracená kategorie = perfektní</t>
  </si>
  <si>
    <t>ratio ≤ 0.80 (utraceno ≤ 80 % limitu)</t>
  </si>
  <si>
    <t>V pohodě</t>
  </si>
  <si>
    <t>ratio 0.81–1.00 (81–100 % limitu)</t>
  </si>
  <si>
    <t>100 - (ratio-0.8)/0.2 × 30</t>
  </si>
  <si>
    <t>Na hranici limitu</t>
  </si>
  <si>
    <t>ratio 1.01–1.50 (101–150 % limitu)</t>
  </si>
  <si>
    <t>70 - (ratio-1.0)/0.5 × 50</t>
  </si>
  <si>
    <t>Překročen o 1–50 %</t>
  </si>
  <si>
    <t>ratio &gt; 1.50 (více než 150 % limitu)</t>
  </si>
  <si>
    <t>max(0, 20-(ratio-1.5)×20)</t>
  </si>
  <si>
    <t>Výrazně překročen</t>
  </si>
  <si>
    <t>Spořicí kategorie: ratio = utraceno/cíl spoření</t>
  </si>
  <si>
    <t>min(100, ratio×100)</t>
  </si>
  <si>
    <t>Spořicí</t>
  </si>
  <si>
    <t>Inverse logic: chceme ASPOŇ tolik</t>
  </si>
  <si>
    <t>SLOŽKA C: Úsporové zdraví  (0–100 bodů) — ZÁVISÍ NA stable:true A isSaving KATEGORIÍCH</t>
  </si>
  <si>
    <t>⚠️ KRITICKÉ: baseIncome = průměr 3 měsíců příjmů jen ze stable:true kategorií. Bez nastavení stable:true → baseIncome=0 → savingScore=50 (neutrální, nic neměří). Spořicí kategorie musí mít isSaving:true.</t>
  </si>
  <si>
    <t>Podmínka (cíl = baseIncome × healthPct/100, min=10 %)</t>
  </si>
  <si>
    <t>Skóre</t>
  </si>
  <si>
    <t>Příklad</t>
  </si>
  <si>
    <t>baseIncome = 0 (žádná stable kategorie)</t>
  </si>
  <si>
    <t>⚠️ Nastavit stable:true na Mzdě</t>
  </si>
  <si>
    <t>Žádná isSaving kategorie</t>
  </si>
  <si>
    <t>⚠️ Nastavit isSaving:true na spoření</t>
  </si>
  <si>
    <t>Utraceno/uloženo = cíl (100 %)</t>
  </si>
  <si>
    <t>20 000 / 20 000</t>
  </si>
  <si>
    <t>Plný cíl</t>
  </si>
  <si>
    <t>Utraceno = 50 % cíle</t>
  </si>
  <si>
    <t>50</t>
  </si>
  <si>
    <t>10 000 / 20 000</t>
  </si>
  <si>
    <t>Polovina</t>
  </si>
  <si>
    <t>Neutraceno nic</t>
  </si>
  <si>
    <t>0 / 20 000</t>
  </si>
  <si>
    <t>Nespoříš</t>
  </si>
  <si>
    <t>CELKOVÉ HODNOCENÍ zdraví  = průměr(A + B + C) / 3</t>
  </si>
  <si>
    <t>Průměrné skóre</t>
  </si>
  <si>
    <t>🟢 Zdravé</t>
  </si>
  <si>
    <t>Dobré hospodaření</t>
  </si>
  <si>
    <t>🟡 Průměrné</t>
  </si>
  <si>
    <t>Prostor ke zlepšení</t>
  </si>
  <si>
    <t>🔴 Kritické</t>
  </si>
  <si>
    <t>Nutný zásah</t>
  </si>
  <si>
    <t>📈 SYSTÉM 2B: Finanční obraz (záložka Finanční obraz — trend 6 měsíců)</t>
  </si>
  <si>
    <t>Měří SMĚR POHYBU za 6 měsíců (zlepšuji / stagnuji / zhoršuji). Baseline = první měsíc S DATY (po FIX-077). Výchozí score = 50, každé kritérium přidá nebo ubere ±15.</t>
  </si>
  <si>
    <t>VÝCHOZÍ STAV</t>
  </si>
  <si>
    <t>Výchozí score (bez splněných kritérií)</t>
  </si>
  <si>
    <t>Vždy začíná na 50 — ani zlepšení, ani zhoršení</t>
  </si>
  <si>
    <t>4 KRITÉRIA (každé ±15 bodů) — srovnání baseline vs aktuální měsíc</t>
  </si>
  <si>
    <t>Kritérium</t>
  </si>
  <si>
    <t>Podmínka pro +15</t>
  </si>
  <si>
    <t>Podmínka pro -15</t>
  </si>
  <si>
    <t>Podmínka pro 0</t>
  </si>
  <si>
    <t>Váha</t>
  </si>
  <si>
    <t>Komentář</t>
  </si>
  <si>
    <t>💰 Příjmy</t>
  </si>
  <si>
    <t>Příjmy vzrostly &gt; +5 % vs baseline</t>
  </si>
  <si>
    <t>Příjmy klesly &gt; -5 % vs baseline</t>
  </si>
  <si>
    <t>Změna v rozsahu ±5 %</t>
  </si>
  <si>
    <t>±15 bodů</t>
  </si>
  <si>
    <t>Srovnání: první měsíc s daty vs aktuální</t>
  </si>
  <si>
    <t>💸 Výdaje</t>
  </si>
  <si>
    <t>Výdaje klesly &gt; -5 % vs baseline</t>
  </si>
  <si>
    <t>Výdaje vzrostly &gt; +10 % vs baseline</t>
  </si>
  <si>
    <t>Změna v rozsahu -5% až +10 %</t>
  </si>
  <si>
    <t>Výdaje mají asymetrický práh (malý nárůst tolerován)</t>
  </si>
  <si>
    <t>🐷 Saldo (Příjmy-Výdaje)</t>
  </si>
  <si>
    <t>Saldo vzrostlo &gt; +10 % vs baseline</t>
  </si>
  <si>
    <t>Saldo kleslo &gt; -10 % vs baseline</t>
  </si>
  <si>
    <t>Změna v rozsahu ±10 %</t>
  </si>
  <si>
    <t>Kombinovaný ukazatel příjmů i výdajů</t>
  </si>
  <si>
    <t>🏦 Dluhy</t>
  </si>
  <si>
    <t>Dluhy klesly &gt; -5 % vs baseline</t>
  </si>
  <si>
    <t>Dluhy vzrostly &gt; +5 % vs baseline</t>
  </si>
  <si>
    <t>Záporné = splácíš, pozitivní = půjčuješ si</t>
  </si>
  <si>
    <t>VÝSLEDNÉ HODNOCENÍ TRENDU</t>
  </si>
  <si>
    <t>Score (0–100)</t>
  </si>
  <si>
    <t>Příklad situace</t>
  </si>
  <si>
    <t>📈 Zlepšuji se</t>
  </si>
  <si>
    <t>Zlepšuji se!</t>
  </si>
  <si>
    <t>Všechny 4 kritéria splněna: 50+60=110 → cap 100</t>
  </si>
  <si>
    <t>↔️ Stagnuji</t>
  </si>
  <si>
    <t>Stagnuji</t>
  </si>
  <si>
    <t>Smíšený výsledek: např. 50+15-15=50</t>
  </si>
  <si>
    <t>📉 Zhoršuji se</t>
  </si>
  <si>
    <t>Zhoršuji se</t>
  </si>
  <si>
    <t>Všechna kritéria negativní: 50-60=max(0,−10)→0</t>
  </si>
  <si>
    <t>💡 PŘÍKLAD: Tvůj Duben 2026 (po FIX-077, baseline = Leden)</t>
  </si>
  <si>
    <t>Výchozí score</t>
  </si>
  <si>
    <t>+50</t>
  </si>
  <si>
    <t>Vždy</t>
  </si>
  <si>
    <t>Příjmy: Leden 34 580 → Duben 31 594 = -9 %</t>
  </si>
  <si>
    <t>&lt; -5 %</t>
  </si>
  <si>
    <t>+35</t>
  </si>
  <si>
    <t>Příjmy klesly o 9 %</t>
  </si>
  <si>
    <t>Výdaje: Leden 28 071 → Duben 41 159 = +47 %</t>
  </si>
  <si>
    <t>&gt; +10 %</t>
  </si>
  <si>
    <t>+20</t>
  </si>
  <si>
    <t>Výdaje vzrostly o 47 %</t>
  </si>
  <si>
    <t>Saldo:  Leden +6 509 → Duben -9 565 (záporné)</t>
  </si>
  <si>
    <t>&lt; -10 %</t>
  </si>
  <si>
    <t>+5</t>
  </si>
  <si>
    <t>Saldo záporné vs kladné</t>
  </si>
  <si>
    <t>Dluhy:  4 834 000 → 4 834 000 = 0 %</t>
  </si>
  <si>
    <t>±5 %</t>
  </si>
  <si>
    <t>Dluhy beze změny</t>
  </si>
  <si>
    <t>VÝSLEDNÝ SCORE</t>
  </si>
  <si>
    <t>5/100</t>
  </si>
  <si>
    <t>5</t>
  </si>
  <si>
    <t>→ 📉 Zhoršuji se</t>
  </si>
  <si>
    <t>⚙️ KONFIGURACE KATEGORIÍ — Edituj hodnoty (modré buňky) a pošli zpět pro implementaci</t>
  </si>
  <si>
    <t>Modré buňky = hodnoty k editaci. Po úpravě pošli soubor zpět Claude pro implementaci do aplikace. Přidej řádky pro nové kategorie. Sloupec 'stable' platí pouze pro PŘÍJMOVÉ kategorie.</t>
  </si>
  <si>
    <t>Název kategorie</t>
  </si>
  <si>
    <t>Typ
(income/expense/both)</t>
  </si>
  <si>
    <t>stable
(true/false)</t>
  </si>
  <si>
    <t>isSaving
(true/false)</t>
  </si>
  <si>
    <t>healthPct
(% z příjmu)</t>
  </si>
  <si>
    <t>healthAmt
(fixní Kč)</t>
  </si>
  <si>
    <t>Aktuální stav</t>
  </si>
  <si>
    <t>Poznámka / Co tím říkáš</t>
  </si>
  <si>
    <t>──── PŘÍJMOVÉ KATEGORIE ────</t>
  </si>
  <si>
    <t>Mzda / Plat</t>
  </si>
  <si>
    <t>income</t>
  </si>
  <si>
    <t>TRUE</t>
  </si>
  <si>
    <t>FALSE</t>
  </si>
  <si>
    <t>stable:true = baseIncome</t>
  </si>
  <si>
    <t>Nastav TRUE → aplikace pozná stabilní příjem</t>
  </si>
  <si>
    <t>Podnikání</t>
  </si>
  <si>
    <t>Nastav TRUE pokud pravideln. příjem z podnikání</t>
  </si>
  <si>
    <t>Brigáda</t>
  </si>
  <si>
    <t>Nepravidelné → FALSE</t>
  </si>
  <si>
    <t>Ostatní příjmy</t>
  </si>
  <si>
    <t>Dary, prodeje atd.</t>
  </si>
  <si>
    <t>──── VÝDAJOVÉ KATEGORIE ────</t>
  </si>
  <si>
    <t>Jídlo &amp; Nákupy</t>
  </si>
  <si>
    <t>expense</t>
  </si>
  <si>
    <t>bez limitu → budgetScore=75</t>
  </si>
  <si>
    <t>Příklad: max 20 % příjmu nebo 8 000 Kč</t>
  </si>
  <si>
    <t>Doprava</t>
  </si>
  <si>
    <t>bez limitu</t>
  </si>
  <si>
    <t>Vč. benzínu, MHD, auta</t>
  </si>
  <si>
    <t>Bydlení</t>
  </si>
  <si>
    <t>Nájem, energie, pojistné</t>
  </si>
  <si>
    <t>Zdraví</t>
  </si>
  <si>
    <t>Léky, lékař</t>
  </si>
  <si>
    <t>Zábava</t>
  </si>
  <si>
    <t>Streaming, kino, sport</t>
  </si>
  <si>
    <t>Dárky</t>
  </si>
  <si>
    <t>Narozeniny, svátky</t>
  </si>
  <si>
    <t>Restaurace</t>
  </si>
  <si>
    <t>Oblečení</t>
  </si>
  <si>
    <t>Vzdělání</t>
  </si>
  <si>
    <t>──── SPOŘICÍ KATEGORIE ────</t>
  </si>
  <si>
    <t>Spoření – Finanční rezerva</t>
  </si>
  <si>
    <t>10 % příjmu = cíl min. spoření</t>
  </si>
  <si>
    <t>Investice</t>
  </si>
  <si>
    <t>Akcie, ETF</t>
  </si>
  <si>
    <t>Penzijní spoření</t>
  </si>
  <si>
    <t>Penzijko</t>
  </si>
  <si>
    <t>📌 LEGENDA: Jak editovat</t>
  </si>
  <si>
    <t>stable: TRUE</t>
  </si>
  <si>
    <t>Nastavit POUZE na příjmové kategorie (Mzda, Podnikání). Aplikace spočítá průměr za 3 měsíce jako 'baseIncome' — základ pro výpočet všech limitů. Bez stable=TRUE → baseIncome=0 → limity nefungují.</t>
  </si>
  <si>
    <t>isSaving: TRUE</t>
  </si>
  <si>
    <t>Spořicí kategorie (Rezerva, Investice, Penzijko). Logika INVERSE: hodnotí zda jsi utratil ASPOŇ tolik, kolik je cíl (healthPct). Bez isSaving=TRUE → savingScore=50 (neutrální).</t>
  </si>
  <si>
    <t>healthPct (číslo 1-100)</t>
  </si>
  <si>
    <t>Maximální povolený % podíl z baseIncome pro výdajovou kategorii. Příklad: 20 = max 20 % měsíčního příjmu. Pro spořicí: minimální cíl (10 = spoř aspoň 10 % příjmu).</t>
  </si>
  <si>
    <t>healthAmt (číslo v Kč)</t>
  </si>
  <si>
    <t>Fixní maximální limit v Kč. Aplikace použije NIŽŠÍ z obou limitů (healthPct a healthAmt). Pokud je jen jedno → použije se to.</t>
  </si>
  <si>
    <t>Přidání nové kategorie</t>
  </si>
  <si>
    <t>Přidej nový řádek. Název musí PŘESNĚ odpovídat názvu kategorie v aplikaci. Vrať soubor Claude pro implementaci.</t>
  </si>
  <si>
    <t>ratio &lt; 0.70 (výdaje &lt; 70 % příjmů)</t>
  </si>
  <si>
    <t>ratio &gt; 1,33</t>
  </si>
  <si>
    <t>ratio 0,81-0,85</t>
  </si>
  <si>
    <t>ratio 0,85-0,9</t>
  </si>
  <si>
    <t>ratio 0,9-1</t>
  </si>
  <si>
    <t>ratio 1-1,05</t>
  </si>
  <si>
    <t>ratio 1,05-1,08</t>
  </si>
  <si>
    <t>ratio 1,08-1,1</t>
  </si>
  <si>
    <t>ratio 1,1-1,12</t>
  </si>
  <si>
    <t>ratio 1,12-1,15</t>
  </si>
  <si>
    <t>ratio 1,15-1,18</t>
  </si>
  <si>
    <t>ratio 1,18-1,2</t>
  </si>
  <si>
    <t>ratio 1,2-1,22</t>
  </si>
  <si>
    <t>ratio 1,22-1,25</t>
  </si>
  <si>
    <t>ratio 1,25-1,25</t>
  </si>
  <si>
    <t>ratio 1,28-1,3</t>
  </si>
  <si>
    <t>ratio 1,3-1,32</t>
  </si>
  <si>
    <t>ratio 1,32-1,35</t>
  </si>
  <si>
    <t>ratio 1,35-1,38</t>
  </si>
  <si>
    <t>ratio 1,38-1,42</t>
  </si>
  <si>
    <t>ratio 1,42-1,5</t>
  </si>
  <si>
    <t>ratio 0,70-0,72</t>
  </si>
  <si>
    <t>ratio 0,72-0,74</t>
  </si>
  <si>
    <t>ratio 0,74-0,76</t>
  </si>
  <si>
    <t>ratio 0,76-0,78</t>
  </si>
  <si>
    <t>ratio 0,78-0,8</t>
  </si>
  <si>
    <t>ratio 0,8-0,82</t>
  </si>
  <si>
    <t>ratio 0,82-85</t>
  </si>
  <si>
    <t>ratio 0,85-0,88</t>
  </si>
  <si>
    <t>ratio 0,88-0,9</t>
  </si>
  <si>
    <t>ratio 0,9-0,93</t>
  </si>
  <si>
    <t>ratio 0,93-0,97</t>
  </si>
  <si>
    <t>ratio 0,97-1</t>
  </si>
  <si>
    <t>ratio 1-1,04</t>
  </si>
  <si>
    <t>ratio 1-1,08</t>
  </si>
  <si>
    <t>ratio 1,08-1,12</t>
  </si>
  <si>
    <t>ratio 1,12-1,17</t>
  </si>
  <si>
    <t>ratio 1,17-1,22</t>
  </si>
  <si>
    <t>ratio 1,22-1,27</t>
  </si>
  <si>
    <t>ratio 1,27-1,33</t>
  </si>
  <si>
    <t>Bezkonkurenční</t>
  </si>
  <si>
    <t>Nadprůměrné</t>
  </si>
  <si>
    <t>Podprůměrné</t>
  </si>
  <si>
    <t>Oslabené</t>
  </si>
  <si>
    <t>Konečné</t>
  </si>
  <si>
    <t>DSTI ≤ 25 % A DTI ≤ 400 %</t>
  </si>
  <si>
    <t>DSTI ≤ 30 % A DTI ≤ 500 %</t>
  </si>
  <si>
    <t>DSTI ≤ 40 % A DTI ≤ 700 %</t>
  </si>
  <si>
    <t>DSTI ≤ 45 % A DTI ≤ 800 %</t>
  </si>
  <si>
    <t>DSTI ≤ 55 % A DTI ≤ 1000 %</t>
  </si>
  <si>
    <t>DSTI ≤ 25 % A DTI ≤ 300 %</t>
  </si>
  <si>
    <t>DSTI ≤ 10 % A DTI ≤ 200 %</t>
  </si>
  <si>
    <t>DSTI &gt; 55 % NEBO DTI &gt; 1000 %</t>
  </si>
  <si>
    <t>DSTI ≤ 37,5 % A DTI ≤ 650 %</t>
  </si>
  <si>
    <t>DSTI ≤ 42,5 % A DTI ≤ 750 %</t>
  </si>
  <si>
    <t>expRatio ≤ 0.55</t>
  </si>
  <si>
    <t>expRatio ≤ 0.6</t>
  </si>
  <si>
    <t>expRatio ≤ 0.65</t>
  </si>
  <si>
    <t>expRatio ≤ 0.75</t>
  </si>
  <si>
    <t>expRatio ≤ 0.8</t>
  </si>
  <si>
    <t>expRatio ≤ 0.85</t>
  </si>
  <si>
    <t>expRatio ≤ 0.90</t>
  </si>
  <si>
    <t>expRatio ≤ 0.95</t>
  </si>
  <si>
    <t>expRatio ≤ 1,1</t>
  </si>
  <si>
    <t>expRatio ≤ 1,2</t>
  </si>
  <si>
    <t>expRatio &gt; 1.20  (výdaje &gt; příjmy)</t>
  </si>
  <si>
    <t>savingRate ≥ 25 % A monthsReserve ≥ 6 měsíce</t>
  </si>
  <si>
    <t>savingRate ≥ 20 % A monthsReserve ≥ 6 měsíce</t>
  </si>
  <si>
    <t>savingRate ≥ 10 % A monthsReserve ≥ 6 měsíce</t>
  </si>
  <si>
    <t>savingRate ≥ 24 % A monthsReserve ≥ 6 měsíce</t>
  </si>
  <si>
    <t>savingRate ≥ 14 % A monthsReserve ≥ 6 měsíce</t>
  </si>
  <si>
    <t>savingRate ≥ 4 % A monthsReserve ≥ 6 měsíce</t>
  </si>
  <si>
    <t>savingRate ≥ 0 % A monthsReserve ≥ 6 měsíce</t>
  </si>
  <si>
    <t>Stagnující zlepšení</t>
  </si>
  <si>
    <t>Hroutím se</t>
  </si>
  <si>
    <t>Jsem nejlepší</t>
  </si>
  <si>
    <t>Výrazné zlepšení</t>
  </si>
  <si>
    <t>Neuvěřitelné szlepšení</t>
  </si>
  <si>
    <t>Jdu do kolen</t>
  </si>
  <si>
    <t>Jsem na kolenou</t>
  </si>
  <si>
    <t>Příjmy vzrostly &gt; +20 % vs baseline</t>
  </si>
  <si>
    <t>Příjmy klesly &gt; -35 % vs baseline</t>
  </si>
  <si>
    <t>Příjmy vzrostly &gt; +15 % vs baseline</t>
  </si>
  <si>
    <t>Příjmy klesly &gt; -30 % vs baseline</t>
  </si>
  <si>
    <t>±13 bodů</t>
  </si>
  <si>
    <t>Příjmy vzrostly &gt; +10 % vs baseline</t>
  </si>
  <si>
    <t>Příjmy klesly &gt; -25 % vs baseline</t>
  </si>
  <si>
    <t>±11 bodů</t>
  </si>
  <si>
    <t>Příjmy klesly &gt; -15 % vs baseline</t>
  </si>
  <si>
    <t>±9 bodů</t>
  </si>
  <si>
    <t>Příjmy vzrostly &gt; +1 % vs baseline</t>
  </si>
  <si>
    <t>±7 bodů</t>
  </si>
  <si>
    <t>Výdaje klesly &gt; -25 % vs baseline</t>
  </si>
  <si>
    <t>Výdaje vzrostly &gt; +25 % vs baseline</t>
  </si>
  <si>
    <t>Výdaje klesly &gt; -20 % vs baseline</t>
  </si>
  <si>
    <t>Výdaje vzrostly &gt; +20 % vs baseline</t>
  </si>
  <si>
    <t>Výdaje klesly &gt; -15 % vs baseline</t>
  </si>
  <si>
    <t>Výdaje vzrostly &gt; +15 % vs baseline</t>
  </si>
  <si>
    <t>Výdaje klesly &gt; -10 % vs baseline</t>
  </si>
  <si>
    <t>Výdaje vzrostly &gt; +5 % vs baseline</t>
  </si>
  <si>
    <t>Výdaje klesly &gt; -1 % vs baseline</t>
  </si>
  <si>
    <t>±5 bodů</t>
  </si>
  <si>
    <t>Saldo vzrostlo &gt; +15 % vs baseline</t>
  </si>
  <si>
    <t>Saldo kleslo &gt; -15 % vs baseline</t>
  </si>
  <si>
    <t>±10 bodů</t>
  </si>
  <si>
    <t>Saldo vzrostlo &gt; +5 % vs baseline</t>
  </si>
  <si>
    <t>Saldo kleslo &gt; -5 % vs baseline</t>
  </si>
  <si>
    <t>Saldo vzrostlo &gt; +1 % vs baseline</t>
  </si>
  <si>
    <t>Saldo kleslo &gt; -1 % vs baseline</t>
  </si>
  <si>
    <t>±1 bodů</t>
  </si>
  <si>
    <t>Dluhy klesly &gt; -1 % vs baseline</t>
  </si>
  <si>
    <t>Dluhy klesly &gt; -3 % vs baseline</t>
  </si>
  <si>
    <t>Dluhy vzrostly &gt; +3 % vs baseline</t>
  </si>
  <si>
    <t>Dluhy vzrostly &gt; +1 % vs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</si>
</sst>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60A5FA"/>
      <name val="Arial"/>
      <charset val="1"/>
    </font>
    <font>
      <b/>
      <sz val="11"/>
      <color rgb="FF4ADE80"/>
      <name val="Arial"/>
      <charset val="1"/>
    </font>
    <font>
      <b/>
      <sz val="9"/>
      <color rgb="FF94A3B8"/>
      <name val="Arial"/>
      <charset val="1"/>
    </font>
    <font>
      <sz val="9"/>
      <color rgb="FFE2E8F0"/>
      <name val="Arial"/>
      <charset val="1"/>
    </font>
    <font>
      <b/>
      <sz val="10"/>
      <color rgb="FF4ADE80"/>
      <name val="Arial"/>
      <charset val="1"/>
    </font>
    <font>
      <sz val="9"/>
      <color rgb="FF94A3B8"/>
      <name val="Arial"/>
      <charset val="1"/>
    </font>
    <font>
      <b/>
      <sz val="8"/>
      <color rgb="FF000000"/>
      <name val="Arial"/>
      <charset val="1"/>
    </font>
    <font>
      <i/>
      <sz val="9"/>
      <color rgb="FF94A3B8"/>
      <name val="Arial"/>
      <charset val="1"/>
    </font>
    <font>
      <b/>
      <sz val="10"/>
      <color rgb="FFFBBF24"/>
      <name val="Arial"/>
      <charset val="1"/>
    </font>
    <font>
      <b/>
      <sz val="10"/>
      <color rgb="FFF87171"/>
      <name val="Arial"/>
      <charset val="1"/>
    </font>
    <font>
      <b/>
      <sz val="10"/>
      <color rgb="FF60A5FA"/>
      <name val="Arial"/>
      <charset val="1"/>
    </font>
    <font>
      <b/>
      <sz val="11"/>
      <color rgb="FFA78BFA"/>
      <name val="Arial"/>
      <charset val="1"/>
    </font>
    <font>
      <b/>
      <sz val="10"/>
      <color rgb="FFFB923C"/>
      <name val="Arial"/>
      <charset val="1"/>
    </font>
    <font>
      <b/>
      <sz val="11"/>
      <color rgb="FF60A5FA"/>
      <name val="Arial"/>
      <charset val="1"/>
    </font>
    <font>
      <b/>
      <sz val="11"/>
      <color rgb="FFFBBF24"/>
      <name val="Arial"/>
      <charset val="1"/>
    </font>
    <font>
      <b/>
      <sz val="11"/>
      <color rgb="FFFFFFFF"/>
      <name val="Arial"/>
      <charset val="1"/>
    </font>
    <font>
      <b/>
      <sz val="10"/>
      <color rgb="FFE2E8F0"/>
      <name val="Arial"/>
      <charset val="1"/>
    </font>
    <font>
      <sz val="12"/>
      <color rgb="FFE2E8F0"/>
      <name val="Arial"/>
      <charset val="1"/>
    </font>
    <font>
      <sz val="8"/>
      <color rgb="FF000000"/>
      <name val="Arial"/>
      <charset val="1"/>
    </font>
    <font>
      <b/>
      <sz val="9"/>
      <color rgb="FFFBBF24"/>
      <name val="Arial"/>
      <charset val="1"/>
    </font>
    <font>
      <i/>
      <sz val="9"/>
      <color rgb="FFFB923C"/>
      <name val="Arial"/>
      <charset val="1"/>
    </font>
    <font>
      <sz val="8"/>
      <color rgb="FF94A3B8"/>
      <name val="Arial"/>
      <charset val="1"/>
    </font>
    <font>
      <b/>
      <sz val="9"/>
      <color rgb="FF4ADE80"/>
      <name val="Arial"/>
      <charset val="1"/>
    </font>
    <font>
      <b/>
      <sz val="9"/>
      <color rgb="FFFB923C"/>
      <name val="Arial"/>
      <charset val="1"/>
    </font>
    <font>
      <b/>
      <sz val="9"/>
      <color rgb="FFF87171"/>
      <name val="Arial"/>
      <charset val="1"/>
    </font>
    <font>
      <b/>
      <sz val="9"/>
      <color rgb="FF60A5FA"/>
      <name val="Arial"/>
      <charset val="1"/>
    </font>
    <font>
      <i/>
      <sz val="9"/>
      <color rgb="FFFBBF24"/>
      <name val="Arial"/>
      <charset val="1"/>
    </font>
    <font>
      <sz val="10"/>
      <color rgb="FFE2E8F0"/>
      <name val="Arial"/>
      <charset val="1"/>
    </font>
    <font>
      <b/>
      <sz val="14"/>
      <color rgb="FFFBBF24"/>
      <name val="Arial"/>
      <charset val="1"/>
    </font>
    <font>
      <sz val="9"/>
      <color rgb="FF4ADE80"/>
      <name val="Arial"/>
      <charset val="1"/>
    </font>
    <font>
      <sz val="9"/>
      <color rgb="FFF87171"/>
      <name val="Arial"/>
      <charset val="1"/>
    </font>
    <font>
      <b/>
      <sz val="11"/>
      <color rgb="FFE2E8F0"/>
      <name val="Arial"/>
      <charset val="1"/>
    </font>
    <font>
      <b/>
      <sz val="11"/>
      <color rgb="FFF87171"/>
      <name val="Arial"/>
      <charset val="1"/>
    </font>
    <font>
      <b/>
      <sz val="10"/>
      <color rgb="FF94A3B8"/>
      <name val="Arial"/>
      <charset val="1"/>
    </font>
    <font>
      <sz val="9"/>
      <color rgb="FF60A5FA"/>
      <name val="Arial"/>
      <charset val="1"/>
    </font>
    <font>
      <i/>
      <sz val="8"/>
      <color rgb="FF94A3B8"/>
      <name val="Arial"/>
      <charset val="1"/>
    </font>
    <font>
      <sz val="9"/>
      <color rgb="FFFBBF24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rgb="FF6366F1"/>
        <bgColor rgb="FF808080"/>
      </patternFill>
    </fill>
    <fill>
      <patternFill patternType="solid">
        <fgColor rgb="FF161B26"/>
        <bgColor rgb="FF1A1E2A"/>
      </patternFill>
    </fill>
    <fill>
      <patternFill patternType="solid">
        <fgColor rgb="FF1E2A1A"/>
        <bgColor rgb="FF1A1F1A"/>
      </patternFill>
    </fill>
    <fill>
      <patternFill patternType="solid">
        <fgColor rgb="FF1E2535"/>
        <bgColor rgb="FF1A2235"/>
      </patternFill>
    </fill>
    <fill>
      <patternFill patternType="solid">
        <fgColor rgb="FF0F1117"/>
        <bgColor rgb="FF0A1A0A"/>
      </patternFill>
    </fill>
    <fill>
      <patternFill patternType="solid">
        <fgColor rgb="FF1A2235"/>
        <bgColor rgb="FF162238"/>
      </patternFill>
    </fill>
    <fill>
      <patternFill patternType="solid">
        <fgColor rgb="FF4ADE80"/>
        <bgColor rgb="FF339966"/>
      </patternFill>
    </fill>
    <fill>
      <patternFill patternType="solid">
        <fgColor rgb="FFFBBF24"/>
        <bgColor rgb="FFFB923C"/>
      </patternFill>
    </fill>
    <fill>
      <patternFill patternType="solid">
        <fgColor rgb="FFF87171"/>
        <bgColor rgb="FFFB923C"/>
      </patternFill>
    </fill>
    <fill>
      <patternFill patternType="solid">
        <fgColor rgb="FF60A5FA"/>
        <bgColor rgb="FF94A3B8"/>
      </patternFill>
    </fill>
    <fill>
      <patternFill patternType="solid">
        <fgColor rgb="FF1E1A2A"/>
        <bgColor rgb="FF1A1E2A"/>
      </patternFill>
    </fill>
    <fill>
      <patternFill patternType="solid">
        <fgColor rgb="FFFB923C"/>
        <bgColor rgb="FFF87171"/>
      </patternFill>
    </fill>
    <fill>
      <patternFill patternType="solid">
        <fgColor rgb="FF1A1E2A"/>
        <bgColor rgb="FF161B26"/>
      </patternFill>
    </fill>
    <fill>
      <patternFill patternType="solid">
        <fgColor rgb="FF1E1A1A"/>
        <bgColor rgb="FF1A1F1A"/>
      </patternFill>
    </fill>
    <fill>
      <patternFill patternType="solid">
        <fgColor rgb="FF1A1F1A"/>
        <bgColor rgb="FF1E1A1A"/>
      </patternFill>
    </fill>
    <fill>
      <patternFill patternType="solid">
        <fgColor rgb="FF2A1A0A"/>
        <bgColor rgb="FF1E1A0A"/>
      </patternFill>
    </fill>
    <fill>
      <patternFill patternType="solid">
        <fgColor rgb="FF94A3B8"/>
        <bgColor rgb="FFA78BFA"/>
      </patternFill>
    </fill>
    <fill>
      <patternFill patternType="solid">
        <fgColor rgb="FF0A1A2A"/>
        <bgColor rgb="FF161B26"/>
      </patternFill>
    </fill>
    <fill>
      <patternFill patternType="solid">
        <fgColor rgb="FF1E1E0A"/>
        <bgColor rgb="FF1E1A0A"/>
      </patternFill>
    </fill>
    <fill>
      <patternFill patternType="solid">
        <fgColor rgb="FF1E1A0A"/>
        <bgColor rgb="FF1E1E0A"/>
      </patternFill>
    </fill>
    <fill>
      <patternFill patternType="solid">
        <fgColor rgb="FF0A1A0A"/>
        <bgColor rgb="FF0F1117"/>
      </patternFill>
    </fill>
    <fill>
      <patternFill patternType="solid">
        <fgColor rgb="FF1A0A0A"/>
        <bgColor rgb="FF0F1117"/>
      </patternFill>
    </fill>
    <fill>
      <patternFill patternType="solid">
        <fgColor rgb="FF162238"/>
        <bgColor rgb="FF1A2235"/>
      </patternFill>
    </fill>
    <fill>
      <patternFill patternType="solid">
        <fgColor rgb="FF0A2A0A"/>
        <bgColor rgb="FF1E2A1A"/>
      </patternFill>
    </fill>
  </fills>
  <borders count="3">
    <border>
      <left/>
      <right/>
      <top/>
      <bottom/>
      <diagonal/>
    </border>
    <border>
      <left style="thin">
        <color rgb="FF2D3748"/>
      </left>
      <right/>
      <top style="thin">
        <color rgb="FF2D3748"/>
      </top>
      <bottom style="thin">
        <color rgb="FF2D3748"/>
      </bottom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6" fillId="20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2" fillId="1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9" fontId="7" fillId="6" borderId="2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0" fillId="18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left" vertical="center"/>
    </xf>
    <xf numFmtId="0" fontId="31" fillId="22" borderId="2" xfId="0" applyFont="1" applyFill="1" applyBorder="1" applyAlignment="1">
      <alignment horizontal="center" vertical="center" wrapText="1"/>
    </xf>
    <xf numFmtId="0" fontId="32" fillId="2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3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left" vertical="center"/>
    </xf>
    <xf numFmtId="0" fontId="34" fillId="6" borderId="2" xfId="0" applyFont="1" applyFill="1" applyBorder="1" applyAlignment="1">
      <alignment horizontal="center" vertical="center" wrapText="1"/>
    </xf>
    <xf numFmtId="0" fontId="35" fillId="7" borderId="2" xfId="0" applyFont="1" applyFill="1" applyBorder="1" applyAlignment="1">
      <alignment horizontal="center" vertical="center" wrapText="1"/>
    </xf>
    <xf numFmtId="0" fontId="35" fillId="6" borderId="2" xfId="0" applyFont="1" applyFill="1" applyBorder="1" applyAlignment="1">
      <alignment horizontal="center" vertical="center" wrapText="1"/>
    </xf>
    <xf numFmtId="0" fontId="36" fillId="24" borderId="2" xfId="0" applyFont="1" applyFill="1" applyBorder="1" applyAlignment="1">
      <alignment horizontal="center" vertical="center" wrapText="1"/>
    </xf>
    <xf numFmtId="0" fontId="24" fillId="25" borderId="2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 wrapText="1"/>
    </xf>
    <xf numFmtId="0" fontId="37" fillId="3" borderId="2" xfId="0" applyFont="1" applyFill="1" applyBorder="1" applyAlignment="1">
      <alignment horizontal="center" vertical="center" wrapText="1"/>
    </xf>
    <xf numFmtId="0" fontId="37" fillId="3" borderId="2" xfId="0" applyFont="1" applyFill="1" applyBorder="1" applyAlignment="1">
      <alignment horizontal="left" vertical="center" wrapText="1"/>
    </xf>
    <xf numFmtId="0" fontId="38" fillId="24" borderId="2" xfId="0" applyFont="1" applyFill="1" applyBorder="1" applyAlignment="1">
      <alignment horizontal="center" vertical="center" wrapText="1"/>
    </xf>
    <xf numFmtId="0" fontId="27" fillId="19" borderId="2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16" fillId="2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2" fontId="0" fillId="0" borderId="0" xfId="0" applyNumberFormat="1"/>
    <xf numFmtId="9" fontId="5" fillId="6" borderId="2" xfId="0" applyNumberFormat="1" applyFont="1" applyFill="1" applyBorder="1" applyAlignment="1">
      <alignment horizontal="left" vertical="center" wrapText="1"/>
    </xf>
    <xf numFmtId="0" fontId="18" fillId="6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61B26"/>
      <rgbColor rgb="FFFFFF00"/>
      <rgbColor rgb="FFFF00FF"/>
      <rgbColor rgb="FF00FFFF"/>
      <rgbColor rgb="FF2A1A0A"/>
      <rgbColor rgb="FF0A1A0A"/>
      <rgbColor rgb="FF0A1A2A"/>
      <rgbColor rgb="FF808000"/>
      <rgbColor rgb="FF1E1A1A"/>
      <rgbColor rgb="FF008080"/>
      <rgbColor rgb="FFC0C0C0"/>
      <rgbColor rgb="FF808080"/>
      <rgbColor rgb="FFA78BFA"/>
      <rgbColor rgb="FF1A1E2A"/>
      <rgbColor rgb="FFFFFFCC"/>
      <rgbColor rgb="FFE2E8F0"/>
      <rgbColor rgb="FF1E1A2A"/>
      <rgbColor rgb="FFF87171"/>
      <rgbColor rgb="FF0066CC"/>
      <rgbColor rgb="FFCCCCFF"/>
      <rgbColor rgb="FF0F1117"/>
      <rgbColor rgb="FFFF00FF"/>
      <rgbColor rgb="FFFFFF00"/>
      <rgbColor rgb="FF00FFFF"/>
      <rgbColor rgb="FF1A2235"/>
      <rgbColor rgb="FF1A0A0A"/>
      <rgbColor rgb="FF008080"/>
      <rgbColor rgb="FF0000FF"/>
      <rgbColor rgb="FF00CCFF"/>
      <rgbColor rgb="FFCCFFFF"/>
      <rgbColor rgb="FFCCFFCC"/>
      <rgbColor rgb="FFFFFF99"/>
      <rgbColor rgb="FF60A5FA"/>
      <rgbColor rgb="FFFF99CC"/>
      <rgbColor rgb="FFCC99FF"/>
      <rgbColor rgb="FFFFCC99"/>
      <rgbColor rgb="FF6366F1"/>
      <rgbColor rgb="FF4ADE80"/>
      <rgbColor rgb="FF99CC00"/>
      <rgbColor rgb="FFFBBF24"/>
      <rgbColor rgb="FFFB923C"/>
      <rgbColor rgb="FFFF6600"/>
      <rgbColor rgb="FF1E1A0A"/>
      <rgbColor rgb="FF94A3B8"/>
      <rgbColor rgb="FF162238"/>
      <rgbColor rgb="FF339966"/>
      <rgbColor rgb="FF0A2A0A"/>
      <rgbColor rgb="FF1E2A1A"/>
      <rgbColor rgb="FF1E1E0A"/>
      <rgbColor rgb="FF1A1F1A"/>
      <rgbColor rgb="FF1E2535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DE80"/>
  </sheetPr>
  <dimension ref="A1:F75"/>
  <sheetViews>
    <sheetView showGridLines="0" topLeftCell="A52" zoomScaleNormal="100" workbookViewId="0">
      <selection activeCell="A41" sqref="A41"/>
    </sheetView>
  </sheetViews>
  <sheetFormatPr defaultColWidth="8.7109375" defaultRowHeight="15" x14ac:dyDescent="0.25"/>
  <cols>
    <col min="1" max="1" width="34.28515625" customWidth="1"/>
    <col min="2" max="5" width="14" customWidth="1"/>
    <col min="6" max="6" width="38" customWidth="1"/>
  </cols>
  <sheetData>
    <row r="1" spans="1:6" ht="21.75" customHeight="1" x14ac:dyDescent="0.25">
      <c r="A1" s="14" t="s">
        <v>0</v>
      </c>
      <c r="B1" s="14"/>
      <c r="C1" s="14"/>
      <c r="D1" s="14"/>
      <c r="E1" s="14"/>
      <c r="F1" s="14"/>
    </row>
    <row r="2" spans="1:6" ht="19.5" customHeight="1" x14ac:dyDescent="0.25">
      <c r="A2" s="13" t="s">
        <v>1</v>
      </c>
      <c r="B2" s="13"/>
      <c r="C2" s="13"/>
      <c r="D2" s="13"/>
      <c r="E2" s="13"/>
      <c r="F2" s="13"/>
    </row>
    <row r="4" spans="1:6" ht="18" customHeight="1" x14ac:dyDescent="0.25">
      <c r="A4" s="12" t="s">
        <v>2</v>
      </c>
      <c r="B4" s="12"/>
      <c r="C4" s="12"/>
      <c r="D4" s="12"/>
      <c r="E4" s="12"/>
      <c r="F4" s="12"/>
    </row>
    <row r="5" spans="1:6" ht="30" customHeight="1" x14ac:dyDescent="0.2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</row>
    <row r="6" spans="1:6" ht="15.75" customHeight="1" x14ac:dyDescent="0.25">
      <c r="A6" s="16" t="s">
        <v>9</v>
      </c>
      <c r="B6" s="17">
        <v>25</v>
      </c>
      <c r="C6" s="18">
        <v>25</v>
      </c>
      <c r="D6" s="19">
        <f t="shared" ref="D6:D20" si="0">B6/C6</f>
        <v>1</v>
      </c>
      <c r="E6" s="20" t="s">
        <v>10</v>
      </c>
      <c r="F6" s="21" t="s">
        <v>11</v>
      </c>
    </row>
    <row r="7" spans="1:6" ht="15.75" customHeight="1" x14ac:dyDescent="0.25">
      <c r="A7" s="16" t="s">
        <v>352</v>
      </c>
      <c r="B7" s="17">
        <v>23</v>
      </c>
      <c r="C7" s="18"/>
      <c r="D7" s="19"/>
      <c r="E7" s="20"/>
      <c r="F7" s="21"/>
    </row>
    <row r="8" spans="1:6" ht="15.75" customHeight="1" x14ac:dyDescent="0.25">
      <c r="A8" s="16" t="s">
        <v>353</v>
      </c>
      <c r="B8" s="17">
        <v>21</v>
      </c>
      <c r="C8" s="18"/>
      <c r="D8" s="19"/>
      <c r="E8" s="20"/>
      <c r="F8" s="21"/>
    </row>
    <row r="9" spans="1:6" ht="15.75" customHeight="1" x14ac:dyDescent="0.25">
      <c r="A9" s="16" t="s">
        <v>354</v>
      </c>
      <c r="B9" s="17">
        <v>19</v>
      </c>
      <c r="C9" s="18"/>
      <c r="D9" s="19"/>
      <c r="E9" s="20"/>
      <c r="F9" s="21"/>
    </row>
    <row r="10" spans="1:6" ht="15.75" customHeight="1" x14ac:dyDescent="0.25">
      <c r="A10" s="16" t="s">
        <v>12</v>
      </c>
      <c r="B10" s="17">
        <v>17</v>
      </c>
      <c r="C10" s="18">
        <v>25</v>
      </c>
      <c r="D10" s="19">
        <f t="shared" si="0"/>
        <v>0.68</v>
      </c>
      <c r="E10" s="20" t="s">
        <v>10</v>
      </c>
      <c r="F10" s="21" t="s">
        <v>13</v>
      </c>
    </row>
    <row r="11" spans="1:6" ht="15.75" customHeight="1" x14ac:dyDescent="0.25">
      <c r="A11" s="16" t="s">
        <v>355</v>
      </c>
      <c r="B11" s="22">
        <v>15</v>
      </c>
      <c r="C11" s="18"/>
      <c r="D11" s="19"/>
      <c r="E11" s="20"/>
      <c r="F11" s="21"/>
    </row>
    <row r="12" spans="1:6" ht="15.75" customHeight="1" x14ac:dyDescent="0.25">
      <c r="A12" s="16" t="s">
        <v>356</v>
      </c>
      <c r="B12" s="22">
        <v>13</v>
      </c>
      <c r="C12" s="18"/>
      <c r="D12" s="19"/>
      <c r="E12" s="20"/>
      <c r="F12" s="21"/>
    </row>
    <row r="13" spans="1:6" ht="15.75" customHeight="1" x14ac:dyDescent="0.25">
      <c r="A13" s="16" t="s">
        <v>357</v>
      </c>
      <c r="B13" s="22">
        <v>11</v>
      </c>
      <c r="C13" s="18"/>
      <c r="D13" s="19"/>
      <c r="E13" s="20"/>
      <c r="F13" s="21"/>
    </row>
    <row r="14" spans="1:6" ht="15.75" customHeight="1" x14ac:dyDescent="0.25">
      <c r="A14" s="16" t="s">
        <v>358</v>
      </c>
      <c r="B14" s="22">
        <v>9</v>
      </c>
      <c r="C14" s="18"/>
      <c r="D14" s="19"/>
      <c r="E14" s="20"/>
      <c r="F14" s="21"/>
    </row>
    <row r="15" spans="1:6" ht="15.75" customHeight="1" x14ac:dyDescent="0.25">
      <c r="A15" s="16" t="s">
        <v>359</v>
      </c>
      <c r="B15" s="22">
        <v>7</v>
      </c>
      <c r="C15" s="18"/>
      <c r="D15" s="19"/>
      <c r="E15" s="20"/>
      <c r="F15" s="21"/>
    </row>
    <row r="16" spans="1:6" ht="15.75" customHeight="1" x14ac:dyDescent="0.25">
      <c r="A16" s="16" t="s">
        <v>16</v>
      </c>
      <c r="B16" s="24">
        <v>5</v>
      </c>
      <c r="C16" s="18">
        <v>25</v>
      </c>
      <c r="D16" s="19">
        <f t="shared" si="0"/>
        <v>0.2</v>
      </c>
      <c r="E16" s="23" t="s">
        <v>14</v>
      </c>
      <c r="F16" s="21" t="s">
        <v>17</v>
      </c>
    </row>
    <row r="17" spans="1:6" ht="15.75" customHeight="1" x14ac:dyDescent="0.25">
      <c r="A17" s="16" t="s">
        <v>360</v>
      </c>
      <c r="B17" s="24">
        <v>3</v>
      </c>
      <c r="C17" s="18"/>
      <c r="D17" s="19"/>
      <c r="E17" s="23"/>
      <c r="F17" s="21"/>
    </row>
    <row r="18" spans="1:6" ht="15.75" customHeight="1" x14ac:dyDescent="0.25">
      <c r="A18" s="16" t="s">
        <v>361</v>
      </c>
      <c r="B18" s="24">
        <v>1</v>
      </c>
      <c r="C18" s="18"/>
      <c r="D18" s="19"/>
      <c r="E18" s="23"/>
      <c r="F18" s="21"/>
    </row>
    <row r="19" spans="1:6" ht="15.75" customHeight="1" x14ac:dyDescent="0.25">
      <c r="A19" s="16" t="s">
        <v>362</v>
      </c>
      <c r="B19" s="24">
        <v>0</v>
      </c>
      <c r="C19" s="18">
        <v>25</v>
      </c>
      <c r="D19" s="19">
        <f t="shared" si="0"/>
        <v>0</v>
      </c>
      <c r="E19" s="25" t="s">
        <v>18</v>
      </c>
      <c r="F19" s="21" t="s">
        <v>19</v>
      </c>
    </row>
    <row r="20" spans="1:6" ht="15.75" customHeight="1" x14ac:dyDescent="0.25">
      <c r="A20" s="16" t="s">
        <v>20</v>
      </c>
      <c r="B20" s="26">
        <v>12</v>
      </c>
      <c r="C20" s="18">
        <v>25</v>
      </c>
      <c r="D20" s="19">
        <f t="shared" si="0"/>
        <v>0.48</v>
      </c>
      <c r="E20" s="27" t="s">
        <v>21</v>
      </c>
      <c r="F20" s="21" t="s">
        <v>22</v>
      </c>
    </row>
    <row r="22" spans="1:6" ht="18" customHeight="1" x14ac:dyDescent="0.25">
      <c r="A22" s="11" t="s">
        <v>23</v>
      </c>
      <c r="B22" s="11"/>
      <c r="C22" s="11"/>
      <c r="D22" s="11"/>
      <c r="E22" s="11"/>
      <c r="F22" s="11"/>
    </row>
    <row r="23" spans="1:6" ht="30" customHeight="1" x14ac:dyDescent="0.25">
      <c r="A23" s="15" t="s">
        <v>24</v>
      </c>
      <c r="B23" s="15" t="s">
        <v>4</v>
      </c>
      <c r="C23" s="15" t="s">
        <v>5</v>
      </c>
      <c r="D23" s="15" t="s">
        <v>25</v>
      </c>
      <c r="E23" s="15" t="s">
        <v>7</v>
      </c>
      <c r="F23" s="15" t="s">
        <v>8</v>
      </c>
    </row>
    <row r="24" spans="1:6" ht="15.75" customHeight="1" x14ac:dyDescent="0.25">
      <c r="A24" s="16" t="s">
        <v>26</v>
      </c>
      <c r="B24" s="17">
        <v>25</v>
      </c>
      <c r="C24" s="18">
        <v>25</v>
      </c>
      <c r="D24" s="19">
        <f>B24/C24</f>
        <v>1</v>
      </c>
      <c r="E24" s="20" t="s">
        <v>10</v>
      </c>
      <c r="F24" s="21" t="s">
        <v>27</v>
      </c>
    </row>
    <row r="25" spans="1:6" ht="15.75" customHeight="1" x14ac:dyDescent="0.25">
      <c r="A25" s="16" t="s">
        <v>348</v>
      </c>
      <c r="B25" s="17">
        <v>25</v>
      </c>
      <c r="C25" s="18"/>
      <c r="D25" s="19"/>
      <c r="E25" s="20"/>
      <c r="F25" s="21"/>
    </row>
    <row r="26" spans="1:6" ht="15.75" customHeight="1" x14ac:dyDescent="0.25">
      <c r="A26" s="16" t="s">
        <v>28</v>
      </c>
      <c r="B26" s="17">
        <v>24</v>
      </c>
      <c r="C26" s="18">
        <v>25</v>
      </c>
      <c r="D26" s="19">
        <f>B26/C26</f>
        <v>0.96</v>
      </c>
      <c r="E26" s="20" t="s">
        <v>10</v>
      </c>
      <c r="F26" s="21" t="s">
        <v>29</v>
      </c>
    </row>
    <row r="27" spans="1:6" ht="15.75" customHeight="1" x14ac:dyDescent="0.25">
      <c r="A27" s="16" t="s">
        <v>347</v>
      </c>
      <c r="B27" s="17">
        <v>23</v>
      </c>
      <c r="C27" s="18"/>
      <c r="D27" s="19"/>
      <c r="E27" s="20"/>
      <c r="F27" s="21"/>
    </row>
    <row r="28" spans="1:6" ht="15.75" customHeight="1" x14ac:dyDescent="0.25">
      <c r="A28" s="16" t="s">
        <v>342</v>
      </c>
      <c r="B28" s="17">
        <v>22</v>
      </c>
      <c r="C28" s="18"/>
      <c r="D28" s="19"/>
      <c r="E28" s="20"/>
      <c r="F28" s="21"/>
    </row>
    <row r="29" spans="1:6" ht="15.75" customHeight="1" x14ac:dyDescent="0.25">
      <c r="A29" s="16" t="s">
        <v>343</v>
      </c>
      <c r="B29" s="17">
        <v>20</v>
      </c>
      <c r="C29" s="18"/>
      <c r="D29" s="19"/>
      <c r="E29" s="20"/>
      <c r="F29" s="21"/>
    </row>
    <row r="30" spans="1:6" ht="15.75" customHeight="1" x14ac:dyDescent="0.25">
      <c r="A30" s="16" t="s">
        <v>30</v>
      </c>
      <c r="B30" s="22">
        <v>18</v>
      </c>
      <c r="C30" s="18">
        <v>25</v>
      </c>
      <c r="D30" s="19">
        <f>B30/C30</f>
        <v>0.72</v>
      </c>
      <c r="E30" s="23" t="s">
        <v>14</v>
      </c>
      <c r="F30" s="21" t="s">
        <v>31</v>
      </c>
    </row>
    <row r="31" spans="1:6" ht="15.75" customHeight="1" x14ac:dyDescent="0.25">
      <c r="A31" s="16" t="s">
        <v>350</v>
      </c>
      <c r="B31" s="22">
        <v>17</v>
      </c>
      <c r="C31" s="18"/>
      <c r="D31" s="19"/>
      <c r="E31" s="23"/>
      <c r="F31" s="21"/>
    </row>
    <row r="32" spans="1:6" ht="15.75" customHeight="1" x14ac:dyDescent="0.25">
      <c r="A32" s="16" t="s">
        <v>344</v>
      </c>
      <c r="B32" s="22">
        <v>16</v>
      </c>
      <c r="C32" s="18"/>
      <c r="D32" s="19"/>
      <c r="E32" s="23"/>
      <c r="F32" s="21"/>
    </row>
    <row r="33" spans="1:6" ht="15.75" customHeight="1" x14ac:dyDescent="0.25">
      <c r="A33" s="16" t="s">
        <v>351</v>
      </c>
      <c r="B33" s="22">
        <v>15</v>
      </c>
      <c r="C33" s="18"/>
      <c r="D33" s="19"/>
      <c r="E33" s="23"/>
      <c r="F33" s="21"/>
    </row>
    <row r="34" spans="1:6" ht="15.75" customHeight="1" x14ac:dyDescent="0.25">
      <c r="A34" s="16" t="s">
        <v>345</v>
      </c>
      <c r="B34" s="22">
        <v>14</v>
      </c>
      <c r="C34" s="18"/>
      <c r="D34" s="19"/>
      <c r="E34" s="23"/>
      <c r="F34" s="21"/>
    </row>
    <row r="35" spans="1:6" ht="15.75" customHeight="1" x14ac:dyDescent="0.25">
      <c r="A35" s="16" t="s">
        <v>32</v>
      </c>
      <c r="B35" s="28">
        <v>12</v>
      </c>
      <c r="C35" s="18">
        <v>25</v>
      </c>
      <c r="D35" s="19">
        <f>B35/C35</f>
        <v>0.48</v>
      </c>
      <c r="E35" s="29" t="s">
        <v>33</v>
      </c>
      <c r="F35" s="21" t="s">
        <v>34</v>
      </c>
    </row>
    <row r="36" spans="1:6" ht="15.75" customHeight="1" x14ac:dyDescent="0.25">
      <c r="A36" s="16" t="s">
        <v>346</v>
      </c>
      <c r="B36" s="28">
        <v>10</v>
      </c>
      <c r="C36" s="18"/>
      <c r="D36" s="19"/>
      <c r="E36" s="29"/>
      <c r="F36" s="21"/>
    </row>
    <row r="37" spans="1:6" ht="15.75" customHeight="1" x14ac:dyDescent="0.25">
      <c r="A37" s="16" t="s">
        <v>349</v>
      </c>
      <c r="B37" s="24">
        <v>1</v>
      </c>
      <c r="C37" s="18">
        <v>25</v>
      </c>
      <c r="D37" s="19">
        <f>B37/C37</f>
        <v>0.04</v>
      </c>
      <c r="E37" s="25" t="s">
        <v>18</v>
      </c>
      <c r="F37" s="21" t="s">
        <v>35</v>
      </c>
    </row>
    <row r="39" spans="1:6" ht="18" customHeight="1" x14ac:dyDescent="0.25">
      <c r="A39" s="10" t="s">
        <v>36</v>
      </c>
      <c r="B39" s="10"/>
      <c r="C39" s="10"/>
      <c r="D39" s="10"/>
      <c r="E39" s="10"/>
      <c r="F39" s="10"/>
    </row>
    <row r="40" spans="1:6" ht="30" customHeight="1" x14ac:dyDescent="0.25">
      <c r="A40" s="15" t="s">
        <v>37</v>
      </c>
      <c r="B40" s="15" t="s">
        <v>4</v>
      </c>
      <c r="C40" s="15" t="s">
        <v>5</v>
      </c>
      <c r="D40" s="15" t="s">
        <v>25</v>
      </c>
      <c r="E40" s="15" t="s">
        <v>7</v>
      </c>
      <c r="F40" s="15" t="s">
        <v>8</v>
      </c>
    </row>
    <row r="41" spans="1:6" ht="15.75" customHeight="1" x14ac:dyDescent="0.25">
      <c r="A41" s="16" t="s">
        <v>363</v>
      </c>
      <c r="B41" s="17">
        <v>25</v>
      </c>
      <c r="C41" s="18">
        <v>25</v>
      </c>
      <c r="D41" s="19">
        <f>B41/C41</f>
        <v>1</v>
      </c>
      <c r="E41" s="20" t="s">
        <v>10</v>
      </c>
      <c r="F41" s="21" t="s">
        <v>38</v>
      </c>
    </row>
    <row r="42" spans="1:6" ht="15.75" customHeight="1" x14ac:dyDescent="0.25">
      <c r="A42" s="16" t="s">
        <v>366</v>
      </c>
      <c r="B42" s="17">
        <v>23</v>
      </c>
      <c r="C42" s="18"/>
      <c r="D42" s="19"/>
      <c r="E42" s="20"/>
      <c r="F42" s="21"/>
    </row>
    <row r="43" spans="1:6" ht="15.75" customHeight="1" x14ac:dyDescent="0.25">
      <c r="A43" s="16" t="s">
        <v>364</v>
      </c>
      <c r="B43" s="17">
        <v>21</v>
      </c>
      <c r="C43" s="18"/>
      <c r="D43" s="19"/>
      <c r="E43" s="20"/>
      <c r="F43" s="21"/>
    </row>
    <row r="44" spans="1:6" ht="15.75" customHeight="1" x14ac:dyDescent="0.25">
      <c r="A44" s="16" t="s">
        <v>367</v>
      </c>
      <c r="B44" s="17">
        <v>19</v>
      </c>
      <c r="C44" s="18"/>
      <c r="D44" s="19"/>
      <c r="E44" s="20"/>
      <c r="F44" s="21"/>
    </row>
    <row r="45" spans="1:6" ht="15.75" customHeight="1" x14ac:dyDescent="0.25">
      <c r="A45" s="16" t="s">
        <v>365</v>
      </c>
      <c r="B45" s="17">
        <v>17</v>
      </c>
      <c r="C45" s="18"/>
      <c r="D45" s="19"/>
      <c r="E45" s="20"/>
      <c r="F45" s="21"/>
    </row>
    <row r="46" spans="1:6" ht="15.75" customHeight="1" x14ac:dyDescent="0.25">
      <c r="A46" s="16" t="s">
        <v>368</v>
      </c>
      <c r="B46" s="17">
        <v>15</v>
      </c>
      <c r="C46" s="18"/>
      <c r="D46" s="19"/>
      <c r="E46" s="20"/>
      <c r="F46" s="21"/>
    </row>
    <row r="47" spans="1:6" ht="15.75" customHeight="1" x14ac:dyDescent="0.25">
      <c r="A47" s="16" t="s">
        <v>369</v>
      </c>
      <c r="B47" s="17">
        <v>13</v>
      </c>
      <c r="C47" s="18"/>
      <c r="D47" s="19"/>
      <c r="E47" s="20"/>
      <c r="F47" s="21"/>
    </row>
    <row r="48" spans="1:6" ht="15.75" customHeight="1" x14ac:dyDescent="0.25">
      <c r="A48" s="16" t="s">
        <v>39</v>
      </c>
      <c r="B48" s="22">
        <v>18</v>
      </c>
      <c r="C48" s="18">
        <v>25</v>
      </c>
      <c r="D48" s="19">
        <f>B48/C48</f>
        <v>0.72</v>
      </c>
      <c r="E48" s="23" t="s">
        <v>14</v>
      </c>
      <c r="F48" s="21" t="s">
        <v>40</v>
      </c>
    </row>
    <row r="49" spans="1:6" ht="15.75" customHeight="1" x14ac:dyDescent="0.25">
      <c r="A49" s="16" t="s">
        <v>41</v>
      </c>
      <c r="B49" s="28">
        <v>10</v>
      </c>
      <c r="C49" s="18">
        <v>25</v>
      </c>
      <c r="D49" s="19">
        <f>B49/C49</f>
        <v>0.4</v>
      </c>
      <c r="E49" s="29" t="s">
        <v>33</v>
      </c>
      <c r="F49" s="21" t="s">
        <v>42</v>
      </c>
    </row>
    <row r="50" spans="1:6" ht="15.75" customHeight="1" x14ac:dyDescent="0.25">
      <c r="A50" s="16" t="s">
        <v>43</v>
      </c>
      <c r="B50" s="26">
        <v>12</v>
      </c>
      <c r="C50" s="18">
        <v>25</v>
      </c>
      <c r="D50" s="19">
        <f>B50/C50</f>
        <v>0.48</v>
      </c>
      <c r="E50" s="27" t="s">
        <v>21</v>
      </c>
      <c r="F50" s="21" t="s">
        <v>44</v>
      </c>
    </row>
    <row r="51" spans="1:6" ht="15.75" customHeight="1" x14ac:dyDescent="0.25">
      <c r="A51" s="16" t="s">
        <v>45</v>
      </c>
      <c r="B51" s="24">
        <v>3</v>
      </c>
      <c r="C51" s="18">
        <v>25</v>
      </c>
      <c r="D51" s="19">
        <f>B51/C51</f>
        <v>0.12</v>
      </c>
      <c r="E51" s="25" t="s">
        <v>18</v>
      </c>
      <c r="F51" s="21" t="s">
        <v>46</v>
      </c>
    </row>
    <row r="53" spans="1:6" ht="18" customHeight="1" x14ac:dyDescent="0.25">
      <c r="A53" s="9" t="s">
        <v>47</v>
      </c>
      <c r="B53" s="9"/>
      <c r="C53" s="9"/>
      <c r="D53" s="9"/>
      <c r="E53" s="9"/>
      <c r="F53" s="9"/>
    </row>
    <row r="54" spans="1:6" ht="30" customHeight="1" x14ac:dyDescent="0.25">
      <c r="A54" s="15" t="s">
        <v>48</v>
      </c>
      <c r="B54" s="15" t="s">
        <v>4</v>
      </c>
      <c r="C54" s="15" t="s">
        <v>5</v>
      </c>
      <c r="D54" s="15" t="s">
        <v>25</v>
      </c>
      <c r="E54" s="15" t="s">
        <v>7</v>
      </c>
      <c r="F54" s="15" t="s">
        <v>8</v>
      </c>
    </row>
    <row r="55" spans="1:6" ht="15.75" customHeight="1" x14ac:dyDescent="0.25">
      <c r="A55" s="16" t="s">
        <v>49</v>
      </c>
      <c r="B55" s="17">
        <v>25</v>
      </c>
      <c r="C55" s="18">
        <v>25</v>
      </c>
      <c r="D55" s="19">
        <f>B55/C55</f>
        <v>1</v>
      </c>
      <c r="E55" s="20" t="s">
        <v>10</v>
      </c>
      <c r="F55" s="21" t="s">
        <v>50</v>
      </c>
    </row>
    <row r="56" spans="1:6" ht="15.75" customHeight="1" x14ac:dyDescent="0.25">
      <c r="A56" s="16" t="s">
        <v>51</v>
      </c>
      <c r="B56" s="22">
        <v>20</v>
      </c>
      <c r="C56" s="18">
        <v>25</v>
      </c>
      <c r="D56" s="19">
        <f>B56/C56</f>
        <v>0.8</v>
      </c>
      <c r="E56" s="23" t="s">
        <v>14</v>
      </c>
      <c r="F56" s="21" t="s">
        <v>52</v>
      </c>
    </row>
    <row r="57" spans="1:6" ht="15.75" customHeight="1" x14ac:dyDescent="0.25">
      <c r="A57" s="16" t="s">
        <v>53</v>
      </c>
      <c r="B57" s="28">
        <v>12</v>
      </c>
      <c r="C57" s="18">
        <v>25</v>
      </c>
      <c r="D57" s="19">
        <f>B57/C57</f>
        <v>0.48</v>
      </c>
      <c r="E57" s="29" t="s">
        <v>33</v>
      </c>
      <c r="F57" s="21" t="s">
        <v>54</v>
      </c>
    </row>
    <row r="58" spans="1:6" ht="15.75" customHeight="1" x14ac:dyDescent="0.25">
      <c r="A58" s="16" t="s">
        <v>55</v>
      </c>
      <c r="B58" s="24">
        <v>5</v>
      </c>
      <c r="C58" s="18">
        <v>25</v>
      </c>
      <c r="D58" s="19">
        <f>B58/C58</f>
        <v>0.2</v>
      </c>
      <c r="E58" s="25" t="s">
        <v>18</v>
      </c>
      <c r="F58" s="21" t="s">
        <v>56</v>
      </c>
    </row>
    <row r="59" spans="1:6" ht="15.75" customHeight="1" x14ac:dyDescent="0.25">
      <c r="A59" s="16" t="s">
        <v>57</v>
      </c>
      <c r="B59" s="26">
        <v>17</v>
      </c>
      <c r="C59" s="18">
        <v>25</v>
      </c>
      <c r="D59" s="19">
        <f>B59/C59</f>
        <v>0.68</v>
      </c>
      <c r="E59" s="27" t="s">
        <v>21</v>
      </c>
      <c r="F59" s="21" t="s">
        <v>58</v>
      </c>
    </row>
    <row r="61" spans="1:6" ht="18" customHeight="1" x14ac:dyDescent="0.25">
      <c r="A61" s="8" t="s">
        <v>59</v>
      </c>
      <c r="B61" s="8"/>
      <c r="C61" s="8"/>
      <c r="D61" s="8"/>
      <c r="E61" s="8"/>
      <c r="F61" s="8"/>
    </row>
    <row r="62" spans="1:6" ht="19.5" customHeight="1" x14ac:dyDescent="0.25">
      <c r="A62" s="15" t="s">
        <v>60</v>
      </c>
      <c r="B62" s="15" t="s">
        <v>61</v>
      </c>
      <c r="C62" s="15" t="s">
        <v>62</v>
      </c>
      <c r="D62" s="15" t="s">
        <v>63</v>
      </c>
      <c r="E62" s="15" t="s">
        <v>64</v>
      </c>
      <c r="F62" s="15" t="s">
        <v>65</v>
      </c>
    </row>
    <row r="63" spans="1:6" ht="18" customHeight="1" x14ac:dyDescent="0.25">
      <c r="A63" s="30" t="s">
        <v>66</v>
      </c>
      <c r="B63" s="31">
        <v>90</v>
      </c>
      <c r="C63" s="31">
        <v>100</v>
      </c>
      <c r="D63" s="32" t="s">
        <v>67</v>
      </c>
      <c r="E63" s="33" t="s">
        <v>66</v>
      </c>
      <c r="F63" s="34" t="s">
        <v>10</v>
      </c>
    </row>
    <row r="64" spans="1:6" ht="18" customHeight="1" x14ac:dyDescent="0.25">
      <c r="A64" s="30" t="s">
        <v>68</v>
      </c>
      <c r="B64" s="31">
        <v>75</v>
      </c>
      <c r="C64" s="31">
        <v>89</v>
      </c>
      <c r="D64" s="32" t="s">
        <v>69</v>
      </c>
      <c r="E64" s="33" t="s">
        <v>68</v>
      </c>
      <c r="F64" s="34" t="s">
        <v>10</v>
      </c>
    </row>
    <row r="65" spans="1:6" ht="18" customHeight="1" x14ac:dyDescent="0.25">
      <c r="A65" s="35" t="s">
        <v>15</v>
      </c>
      <c r="B65" s="31">
        <v>60</v>
      </c>
      <c r="C65" s="31">
        <v>74</v>
      </c>
      <c r="D65" s="32" t="s">
        <v>70</v>
      </c>
      <c r="E65" s="36" t="s">
        <v>15</v>
      </c>
      <c r="F65" s="37" t="s">
        <v>21</v>
      </c>
    </row>
    <row r="66" spans="1:6" ht="18" customHeight="1" x14ac:dyDescent="0.25">
      <c r="A66" s="38" t="s">
        <v>71</v>
      </c>
      <c r="B66" s="31">
        <v>45</v>
      </c>
      <c r="C66" s="31">
        <v>59</v>
      </c>
      <c r="D66" s="32" t="s">
        <v>72</v>
      </c>
      <c r="E66" s="39" t="s">
        <v>71</v>
      </c>
      <c r="F66" s="40" t="s">
        <v>14</v>
      </c>
    </row>
    <row r="67" spans="1:6" ht="18" customHeight="1" x14ac:dyDescent="0.25">
      <c r="A67" s="41" t="s">
        <v>73</v>
      </c>
      <c r="B67" s="31">
        <v>30</v>
      </c>
      <c r="C67" s="31">
        <v>44</v>
      </c>
      <c r="D67" s="32" t="s">
        <v>74</v>
      </c>
      <c r="E67" s="42" t="s">
        <v>73</v>
      </c>
      <c r="F67" s="43" t="s">
        <v>33</v>
      </c>
    </row>
    <row r="68" spans="1:6" ht="18" customHeight="1" x14ac:dyDescent="0.25">
      <c r="A68" s="44" t="s">
        <v>46</v>
      </c>
      <c r="B68" s="31">
        <v>0</v>
      </c>
      <c r="C68" s="31">
        <v>29</v>
      </c>
      <c r="D68" s="32" t="s">
        <v>75</v>
      </c>
      <c r="E68" s="45" t="s">
        <v>46</v>
      </c>
      <c r="F68" s="46" t="s">
        <v>18</v>
      </c>
    </row>
    <row r="70" spans="1:6" ht="18" customHeight="1" x14ac:dyDescent="0.25">
      <c r="A70" s="7" t="s">
        <v>76</v>
      </c>
      <c r="B70" s="7"/>
      <c r="C70" s="7"/>
      <c r="D70" s="7"/>
      <c r="E70" s="7"/>
      <c r="F70" s="7"/>
    </row>
    <row r="71" spans="1:6" ht="18" customHeight="1" x14ac:dyDescent="0.25">
      <c r="A71" s="47" t="s">
        <v>77</v>
      </c>
      <c r="B71" s="48" t="s">
        <v>78</v>
      </c>
      <c r="C71" s="6" t="s">
        <v>79</v>
      </c>
      <c r="D71" s="6"/>
      <c r="E71" s="5" t="s">
        <v>80</v>
      </c>
      <c r="F71" s="5"/>
    </row>
    <row r="72" spans="1:6" ht="18" customHeight="1" x14ac:dyDescent="0.25">
      <c r="A72" s="47" t="s">
        <v>81</v>
      </c>
      <c r="B72" s="48" t="s">
        <v>82</v>
      </c>
      <c r="C72" s="6" t="s">
        <v>83</v>
      </c>
      <c r="D72" s="6"/>
      <c r="E72" s="5" t="s">
        <v>84</v>
      </c>
      <c r="F72" s="5"/>
    </row>
    <row r="73" spans="1:6" ht="18" customHeight="1" x14ac:dyDescent="0.25">
      <c r="A73" s="47" t="s">
        <v>85</v>
      </c>
      <c r="B73" s="48" t="s">
        <v>86</v>
      </c>
      <c r="C73" s="6" t="s">
        <v>87</v>
      </c>
      <c r="D73" s="6"/>
      <c r="E73" s="5" t="s">
        <v>88</v>
      </c>
      <c r="F73" s="5"/>
    </row>
    <row r="74" spans="1:6" ht="18" customHeight="1" x14ac:dyDescent="0.25">
      <c r="A74" s="47" t="s">
        <v>89</v>
      </c>
      <c r="B74" s="48" t="s">
        <v>90</v>
      </c>
      <c r="C74" s="6" t="s">
        <v>91</v>
      </c>
      <c r="D74" s="6"/>
      <c r="E74" s="5" t="s">
        <v>92</v>
      </c>
      <c r="F74" s="5"/>
    </row>
    <row r="75" spans="1:6" ht="18" customHeight="1" x14ac:dyDescent="0.25">
      <c r="A75" s="47" t="s">
        <v>93</v>
      </c>
      <c r="B75" s="48" t="s">
        <v>94</v>
      </c>
      <c r="C75" s="6"/>
      <c r="D75" s="6"/>
      <c r="E75" s="5" t="s">
        <v>95</v>
      </c>
      <c r="F75" s="5"/>
    </row>
  </sheetData>
  <mergeCells count="18">
    <mergeCell ref="C75:D75"/>
    <mergeCell ref="E75:F75"/>
    <mergeCell ref="C72:D72"/>
    <mergeCell ref="E72:F72"/>
    <mergeCell ref="C73:D73"/>
    <mergeCell ref="E73:F73"/>
    <mergeCell ref="C74:D74"/>
    <mergeCell ref="E74:F74"/>
    <mergeCell ref="A53:F53"/>
    <mergeCell ref="A61:F61"/>
    <mergeCell ref="A70:F70"/>
    <mergeCell ref="C71:D71"/>
    <mergeCell ref="E71:F71"/>
    <mergeCell ref="A1:F1"/>
    <mergeCell ref="A2:F2"/>
    <mergeCell ref="A4:F4"/>
    <mergeCell ref="A22:F22"/>
    <mergeCell ref="A39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A5FA"/>
  </sheetPr>
  <dimension ref="A1:M99"/>
  <sheetViews>
    <sheetView showGridLines="0" topLeftCell="A73" zoomScale="110" zoomScaleNormal="110" workbookViewId="0">
      <selection activeCell="E98" sqref="E97:E98"/>
    </sheetView>
  </sheetViews>
  <sheetFormatPr defaultColWidth="8.7109375" defaultRowHeight="15" x14ac:dyDescent="0.25"/>
  <cols>
    <col min="1" max="1" width="30" customWidth="1"/>
    <col min="2" max="5" width="14" customWidth="1"/>
    <col min="6" max="6" width="38" customWidth="1"/>
  </cols>
  <sheetData>
    <row r="1" spans="1:13" ht="21.75" customHeight="1" x14ac:dyDescent="0.25">
      <c r="A1" s="14" t="s">
        <v>96</v>
      </c>
      <c r="B1" s="14"/>
      <c r="C1" s="14"/>
      <c r="D1" s="14"/>
      <c r="E1" s="14"/>
      <c r="F1" s="14"/>
    </row>
    <row r="2" spans="1:13" ht="19.5" customHeight="1" x14ac:dyDescent="0.25">
      <c r="A2" s="13" t="s">
        <v>97</v>
      </c>
      <c r="B2" s="13"/>
      <c r="C2" s="13"/>
      <c r="D2" s="13"/>
      <c r="E2" s="13"/>
      <c r="F2" s="13"/>
      <c r="J2" s="85"/>
    </row>
    <row r="3" spans="1:13" x14ac:dyDescent="0.25">
      <c r="J3" s="85"/>
      <c r="M3" s="85"/>
    </row>
    <row r="4" spans="1:13" ht="18" customHeight="1" x14ac:dyDescent="0.25">
      <c r="A4" s="12" t="s">
        <v>98</v>
      </c>
      <c r="B4" s="12"/>
      <c r="C4" s="12"/>
      <c r="D4" s="12"/>
      <c r="E4" s="12"/>
      <c r="F4" s="12"/>
      <c r="J4" s="85"/>
      <c r="M4" s="85"/>
    </row>
    <row r="5" spans="1:13" ht="30" customHeight="1" x14ac:dyDescent="0.25">
      <c r="A5" s="15" t="s">
        <v>99</v>
      </c>
      <c r="B5" s="15" t="s">
        <v>4</v>
      </c>
      <c r="C5" s="15" t="s">
        <v>100</v>
      </c>
      <c r="D5" s="15" t="s">
        <v>101</v>
      </c>
      <c r="E5" s="15" t="s">
        <v>7</v>
      </c>
      <c r="F5" s="15" t="s">
        <v>102</v>
      </c>
      <c r="J5" s="85"/>
      <c r="M5" s="85"/>
    </row>
    <row r="6" spans="1:13" ht="15.75" customHeight="1" x14ac:dyDescent="0.25">
      <c r="A6" s="16" t="s">
        <v>103</v>
      </c>
      <c r="B6" s="26">
        <v>50</v>
      </c>
      <c r="C6" s="18" t="s">
        <v>104</v>
      </c>
      <c r="D6" s="18" t="s">
        <v>105</v>
      </c>
      <c r="E6" s="37" t="s">
        <v>21</v>
      </c>
      <c r="F6" s="49" t="s">
        <v>106</v>
      </c>
      <c r="J6" s="85"/>
      <c r="M6" s="85"/>
    </row>
    <row r="7" spans="1:13" ht="15.75" customHeight="1" x14ac:dyDescent="0.25">
      <c r="A7" s="16" t="s">
        <v>107</v>
      </c>
      <c r="B7" s="24">
        <v>0</v>
      </c>
      <c r="C7" s="18">
        <f>0</f>
        <v>0</v>
      </c>
      <c r="D7" s="18" t="s">
        <v>105</v>
      </c>
      <c r="E7" s="46" t="s">
        <v>18</v>
      </c>
      <c r="F7" s="49" t="s">
        <v>108</v>
      </c>
      <c r="J7" s="85"/>
      <c r="M7" s="85"/>
    </row>
    <row r="8" spans="1:13" ht="15.75" customHeight="1" x14ac:dyDescent="0.25">
      <c r="A8" s="16" t="s">
        <v>297</v>
      </c>
      <c r="B8" s="17">
        <v>100</v>
      </c>
      <c r="C8" s="18">
        <f>100</f>
        <v>100</v>
      </c>
      <c r="D8" s="18" t="s">
        <v>109</v>
      </c>
      <c r="E8" s="34" t="s">
        <v>10</v>
      </c>
      <c r="F8" s="49" t="s">
        <v>110</v>
      </c>
      <c r="J8" s="85"/>
      <c r="M8" s="85"/>
    </row>
    <row r="9" spans="1:13" ht="15.75" customHeight="1" x14ac:dyDescent="0.25">
      <c r="A9" s="16" t="s">
        <v>318</v>
      </c>
      <c r="B9" s="17">
        <v>95</v>
      </c>
      <c r="C9" s="18"/>
      <c r="D9" s="18"/>
      <c r="E9" s="34"/>
      <c r="F9" s="49"/>
      <c r="J9" s="85"/>
      <c r="M9" s="85"/>
    </row>
    <row r="10" spans="1:13" ht="15.75" customHeight="1" x14ac:dyDescent="0.25">
      <c r="A10" s="16" t="s">
        <v>319</v>
      </c>
      <c r="B10" s="17">
        <f>B9-5</f>
        <v>90</v>
      </c>
      <c r="C10" s="18"/>
      <c r="D10" s="18"/>
      <c r="E10" s="34"/>
      <c r="F10" s="49"/>
      <c r="J10" s="85"/>
      <c r="M10" s="85"/>
    </row>
    <row r="11" spans="1:13" ht="15.75" customHeight="1" x14ac:dyDescent="0.25">
      <c r="A11" s="16" t="s">
        <v>320</v>
      </c>
      <c r="B11" s="17">
        <f t="shared" ref="B11:B26" si="0">B10-5</f>
        <v>85</v>
      </c>
      <c r="C11" s="18"/>
      <c r="D11" s="18"/>
      <c r="E11" s="34"/>
      <c r="F11" s="49"/>
      <c r="J11" s="85"/>
      <c r="M11" s="85"/>
    </row>
    <row r="12" spans="1:13" ht="15.75" customHeight="1" x14ac:dyDescent="0.25">
      <c r="A12" s="16" t="s">
        <v>321</v>
      </c>
      <c r="B12" s="17">
        <f t="shared" si="0"/>
        <v>80</v>
      </c>
      <c r="C12" s="18"/>
      <c r="D12" s="18"/>
      <c r="E12" s="34"/>
      <c r="F12" s="49"/>
      <c r="J12" s="85"/>
      <c r="M12" s="85"/>
    </row>
    <row r="13" spans="1:13" ht="15.75" customHeight="1" x14ac:dyDescent="0.25">
      <c r="A13" s="16" t="s">
        <v>322</v>
      </c>
      <c r="B13" s="17">
        <f t="shared" si="0"/>
        <v>75</v>
      </c>
      <c r="C13" s="18"/>
      <c r="D13" s="18"/>
      <c r="E13" s="34"/>
      <c r="F13" s="49"/>
      <c r="J13" s="85"/>
      <c r="M13" s="85"/>
    </row>
    <row r="14" spans="1:13" ht="15.75" customHeight="1" x14ac:dyDescent="0.25">
      <c r="A14" s="16" t="s">
        <v>323</v>
      </c>
      <c r="B14" s="22">
        <f t="shared" si="0"/>
        <v>70</v>
      </c>
      <c r="C14" s="18"/>
      <c r="D14" s="18"/>
      <c r="E14" s="40"/>
      <c r="F14" s="49"/>
      <c r="J14" s="85"/>
      <c r="M14" s="85"/>
    </row>
    <row r="15" spans="1:13" ht="15.75" customHeight="1" x14ac:dyDescent="0.25">
      <c r="A15" s="16" t="s">
        <v>324</v>
      </c>
      <c r="B15" s="22">
        <f t="shared" si="0"/>
        <v>65</v>
      </c>
      <c r="C15" s="18"/>
      <c r="D15" s="18"/>
      <c r="E15" s="40"/>
      <c r="F15" s="49"/>
      <c r="J15" s="85"/>
      <c r="M15" s="85"/>
    </row>
    <row r="16" spans="1:13" ht="15.75" customHeight="1" x14ac:dyDescent="0.25">
      <c r="A16" s="16" t="s">
        <v>325</v>
      </c>
      <c r="B16" s="22">
        <f t="shared" si="0"/>
        <v>60</v>
      </c>
      <c r="C16" s="18"/>
      <c r="D16" s="18"/>
      <c r="E16" s="40"/>
      <c r="F16" s="49"/>
      <c r="J16" s="85"/>
      <c r="M16" s="85"/>
    </row>
    <row r="17" spans="1:13" ht="15.75" customHeight="1" x14ac:dyDescent="0.25">
      <c r="A17" s="16" t="s">
        <v>326</v>
      </c>
      <c r="B17" s="22">
        <f t="shared" si="0"/>
        <v>55</v>
      </c>
      <c r="C17" s="18"/>
      <c r="D17" s="18"/>
      <c r="E17" s="40"/>
      <c r="F17" s="49"/>
      <c r="J17" s="85"/>
      <c r="M17" s="85"/>
    </row>
    <row r="18" spans="1:13" ht="15.75" customHeight="1" x14ac:dyDescent="0.25">
      <c r="A18" s="16" t="s">
        <v>327</v>
      </c>
      <c r="B18" s="22">
        <f t="shared" si="0"/>
        <v>50</v>
      </c>
      <c r="C18" s="18"/>
      <c r="D18" s="18"/>
      <c r="E18" s="40"/>
      <c r="F18" s="49"/>
      <c r="J18" s="85"/>
      <c r="M18" s="85"/>
    </row>
    <row r="19" spans="1:13" ht="15.75" customHeight="1" x14ac:dyDescent="0.25">
      <c r="A19" s="16" t="s">
        <v>328</v>
      </c>
      <c r="B19" s="28">
        <f t="shared" si="0"/>
        <v>45</v>
      </c>
      <c r="C19" s="18"/>
      <c r="D19" s="18"/>
      <c r="E19" s="43"/>
      <c r="F19" s="49"/>
      <c r="J19" s="85"/>
      <c r="M19" s="85"/>
    </row>
    <row r="20" spans="1:13" ht="15.75" customHeight="1" x14ac:dyDescent="0.25">
      <c r="A20" s="16" t="s">
        <v>329</v>
      </c>
      <c r="B20" s="28">
        <f t="shared" si="0"/>
        <v>40</v>
      </c>
      <c r="C20" s="18"/>
      <c r="D20" s="18"/>
      <c r="E20" s="43"/>
      <c r="F20" s="49"/>
      <c r="J20" s="85"/>
      <c r="M20" s="85"/>
    </row>
    <row r="21" spans="1:13" ht="15.75" customHeight="1" x14ac:dyDescent="0.25">
      <c r="A21" s="16" t="s">
        <v>330</v>
      </c>
      <c r="B21" s="28">
        <f t="shared" si="0"/>
        <v>35</v>
      </c>
      <c r="C21" s="18"/>
      <c r="D21" s="18"/>
      <c r="E21" s="43"/>
      <c r="F21" s="49"/>
      <c r="J21" s="85"/>
      <c r="M21" s="85"/>
    </row>
    <row r="22" spans="1:13" ht="15.75" customHeight="1" x14ac:dyDescent="0.25">
      <c r="A22" s="16" t="s">
        <v>331</v>
      </c>
      <c r="B22" s="28">
        <f t="shared" si="0"/>
        <v>30</v>
      </c>
      <c r="C22" s="18"/>
      <c r="D22" s="18"/>
      <c r="E22" s="43"/>
      <c r="F22" s="49"/>
      <c r="J22" s="85"/>
      <c r="M22" s="85"/>
    </row>
    <row r="23" spans="1:13" ht="15.75" customHeight="1" x14ac:dyDescent="0.25">
      <c r="A23" s="16" t="s">
        <v>332</v>
      </c>
      <c r="B23" s="28">
        <f t="shared" si="0"/>
        <v>25</v>
      </c>
      <c r="C23" s="18"/>
      <c r="D23" s="18"/>
      <c r="E23" s="43"/>
      <c r="F23" s="49"/>
      <c r="J23" s="85"/>
      <c r="M23" s="85"/>
    </row>
    <row r="24" spans="1:13" ht="15.75" customHeight="1" x14ac:dyDescent="0.25">
      <c r="A24" s="16" t="s">
        <v>333</v>
      </c>
      <c r="B24" s="24">
        <f t="shared" si="0"/>
        <v>20</v>
      </c>
      <c r="C24" s="18"/>
      <c r="D24" s="18"/>
      <c r="E24" s="46"/>
      <c r="F24" s="49"/>
      <c r="J24" s="85"/>
      <c r="M24" s="85"/>
    </row>
    <row r="25" spans="1:13" ht="15.75" customHeight="1" x14ac:dyDescent="0.25">
      <c r="A25" s="16" t="s">
        <v>334</v>
      </c>
      <c r="B25" s="24">
        <f t="shared" si="0"/>
        <v>15</v>
      </c>
      <c r="C25" s="18"/>
      <c r="D25" s="18"/>
      <c r="E25" s="46"/>
      <c r="F25" s="49"/>
      <c r="J25" s="85"/>
      <c r="M25" s="85"/>
    </row>
    <row r="26" spans="1:13" ht="15.75" customHeight="1" x14ac:dyDescent="0.25">
      <c r="A26" s="16" t="s">
        <v>335</v>
      </c>
      <c r="B26" s="24">
        <f t="shared" si="0"/>
        <v>10</v>
      </c>
      <c r="C26" s="18"/>
      <c r="D26" s="18"/>
      <c r="E26" s="46"/>
      <c r="F26" s="49"/>
    </row>
    <row r="27" spans="1:13" ht="15.75" customHeight="1" x14ac:dyDescent="0.25">
      <c r="A27" s="16" t="s">
        <v>336</v>
      </c>
      <c r="B27" s="24">
        <v>5</v>
      </c>
      <c r="C27" s="18"/>
      <c r="D27" s="18"/>
      <c r="E27" s="46"/>
      <c r="F27" s="49"/>
    </row>
    <row r="28" spans="1:13" ht="24" x14ac:dyDescent="0.25">
      <c r="A28" s="16" t="s">
        <v>298</v>
      </c>
      <c r="B28" s="24">
        <v>0</v>
      </c>
      <c r="C28" s="18" t="s">
        <v>111</v>
      </c>
      <c r="D28" s="18" t="s">
        <v>112</v>
      </c>
      <c r="E28" s="46" t="s">
        <v>18</v>
      </c>
      <c r="F28" s="49" t="s">
        <v>113</v>
      </c>
    </row>
    <row r="30" spans="1:13" ht="18" customHeight="1" x14ac:dyDescent="0.25">
      <c r="A30" s="11" t="s">
        <v>114</v>
      </c>
      <c r="B30" s="11"/>
      <c r="C30" s="11"/>
      <c r="D30" s="11"/>
      <c r="E30" s="11"/>
      <c r="F30" s="11"/>
    </row>
    <row r="31" spans="1:13" ht="30" customHeight="1" x14ac:dyDescent="0.25">
      <c r="A31" s="4" t="s">
        <v>115</v>
      </c>
      <c r="B31" s="4"/>
      <c r="C31" s="4"/>
      <c r="D31" s="4"/>
      <c r="E31" s="4"/>
      <c r="F31" s="4"/>
    </row>
    <row r="32" spans="1:13" ht="30" customHeight="1" x14ac:dyDescent="0.25">
      <c r="A32" s="15" t="s">
        <v>116</v>
      </c>
      <c r="B32" s="15" t="s">
        <v>117</v>
      </c>
      <c r="C32" s="15" t="s">
        <v>118</v>
      </c>
      <c r="D32" s="15" t="s">
        <v>119</v>
      </c>
      <c r="E32" s="15" t="s">
        <v>7</v>
      </c>
      <c r="F32" s="15" t="s">
        <v>8</v>
      </c>
    </row>
    <row r="33" spans="1:6" ht="24" x14ac:dyDescent="0.25">
      <c r="A33" s="50" t="s">
        <v>120</v>
      </c>
      <c r="B33" s="51" t="s">
        <v>121</v>
      </c>
      <c r="C33" s="52" t="s">
        <v>122</v>
      </c>
      <c r="D33" s="18" t="s">
        <v>123</v>
      </c>
      <c r="E33" s="53" t="s">
        <v>124</v>
      </c>
      <c r="F33" s="21" t="s">
        <v>125</v>
      </c>
    </row>
    <row r="34" spans="1:6" ht="18" customHeight="1" x14ac:dyDescent="0.25">
      <c r="A34" s="50" t="s">
        <v>126</v>
      </c>
      <c r="B34" s="54">
        <v>100</v>
      </c>
      <c r="C34" s="52">
        <f>100</f>
        <v>100</v>
      </c>
      <c r="D34" s="18" t="s">
        <v>123</v>
      </c>
      <c r="E34" s="34" t="s">
        <v>10</v>
      </c>
      <c r="F34" s="21" t="s">
        <v>127</v>
      </c>
    </row>
    <row r="35" spans="1:6" ht="18" customHeight="1" x14ac:dyDescent="0.25">
      <c r="A35" s="50" t="s">
        <v>128</v>
      </c>
      <c r="B35" s="54">
        <v>100</v>
      </c>
      <c r="C35" s="52">
        <f>100</f>
        <v>100</v>
      </c>
      <c r="D35" s="18" t="s">
        <v>123</v>
      </c>
      <c r="E35" s="34" t="s">
        <v>10</v>
      </c>
      <c r="F35" s="21" t="s">
        <v>129</v>
      </c>
    </row>
    <row r="36" spans="1:6" ht="18" customHeight="1" x14ac:dyDescent="0.25">
      <c r="A36" s="50" t="s">
        <v>299</v>
      </c>
      <c r="B36" s="54">
        <v>95</v>
      </c>
      <c r="C36" s="52"/>
      <c r="D36" s="18"/>
      <c r="E36" s="34"/>
      <c r="F36" s="21"/>
    </row>
    <row r="37" spans="1:6" ht="18" customHeight="1" x14ac:dyDescent="0.25">
      <c r="A37" s="50" t="s">
        <v>300</v>
      </c>
      <c r="B37" s="54">
        <v>90</v>
      </c>
      <c r="C37" s="52"/>
      <c r="D37" s="18"/>
      <c r="E37" s="34"/>
      <c r="F37" s="21"/>
    </row>
    <row r="38" spans="1:6" ht="18" customHeight="1" x14ac:dyDescent="0.25">
      <c r="A38" s="50" t="s">
        <v>301</v>
      </c>
      <c r="B38" s="54">
        <v>85</v>
      </c>
      <c r="C38" s="52"/>
      <c r="D38" s="18"/>
      <c r="E38" s="34"/>
      <c r="F38" s="21"/>
    </row>
    <row r="39" spans="1:6" ht="18" customHeight="1" x14ac:dyDescent="0.25">
      <c r="A39" s="50" t="s">
        <v>302</v>
      </c>
      <c r="B39" s="54">
        <v>80</v>
      </c>
      <c r="C39" s="52"/>
      <c r="D39" s="18"/>
      <c r="E39" s="40"/>
      <c r="F39" s="21"/>
    </row>
    <row r="40" spans="1:6" ht="18" customHeight="1" x14ac:dyDescent="0.25">
      <c r="A40" s="50" t="s">
        <v>303</v>
      </c>
      <c r="B40" s="54">
        <v>75</v>
      </c>
      <c r="C40" s="52"/>
      <c r="D40" s="18"/>
      <c r="E40" s="40"/>
      <c r="F40" s="21"/>
    </row>
    <row r="41" spans="1:6" ht="18" customHeight="1" x14ac:dyDescent="0.25">
      <c r="A41" s="50" t="s">
        <v>304</v>
      </c>
      <c r="B41" s="54">
        <v>70</v>
      </c>
      <c r="C41" s="52"/>
      <c r="D41" s="18"/>
      <c r="E41" s="40"/>
      <c r="F41" s="21"/>
    </row>
    <row r="42" spans="1:6" ht="18" customHeight="1" x14ac:dyDescent="0.25">
      <c r="A42" s="50" t="s">
        <v>305</v>
      </c>
      <c r="B42" s="54">
        <v>65</v>
      </c>
      <c r="C42" s="52"/>
      <c r="D42" s="18"/>
      <c r="E42" s="40"/>
      <c r="F42" s="21"/>
    </row>
    <row r="43" spans="1:6" ht="18" customHeight="1" x14ac:dyDescent="0.25">
      <c r="A43" s="50" t="s">
        <v>306</v>
      </c>
      <c r="B43" s="54">
        <v>60</v>
      </c>
      <c r="C43" s="52"/>
      <c r="D43" s="18"/>
      <c r="E43" s="40"/>
      <c r="F43" s="21"/>
    </row>
    <row r="44" spans="1:6" ht="18" customHeight="1" x14ac:dyDescent="0.25">
      <c r="A44" s="50" t="s">
        <v>307</v>
      </c>
      <c r="B44" s="54">
        <v>55</v>
      </c>
      <c r="C44" s="52"/>
      <c r="D44" s="18"/>
      <c r="E44" s="43"/>
      <c r="F44" s="21"/>
    </row>
    <row r="45" spans="1:6" ht="18" customHeight="1" x14ac:dyDescent="0.25">
      <c r="A45" s="50" t="s">
        <v>308</v>
      </c>
      <c r="B45" s="54">
        <v>50</v>
      </c>
      <c r="C45" s="52"/>
      <c r="D45" s="18"/>
      <c r="E45" s="43"/>
      <c r="F45" s="21"/>
    </row>
    <row r="46" spans="1:6" ht="18" customHeight="1" x14ac:dyDescent="0.25">
      <c r="A46" s="50" t="s">
        <v>309</v>
      </c>
      <c r="B46" s="54">
        <v>45</v>
      </c>
      <c r="C46" s="52"/>
      <c r="D46" s="18"/>
      <c r="E46" s="43"/>
      <c r="F46" s="21"/>
    </row>
    <row r="47" spans="1:6" ht="18" customHeight="1" x14ac:dyDescent="0.25">
      <c r="A47" s="50" t="s">
        <v>310</v>
      </c>
      <c r="B47" s="54">
        <v>40</v>
      </c>
      <c r="C47" s="52"/>
      <c r="D47" s="18"/>
      <c r="E47" s="43"/>
      <c r="F47" s="21"/>
    </row>
    <row r="48" spans="1:6" ht="18" customHeight="1" x14ac:dyDescent="0.25">
      <c r="A48" s="50" t="s">
        <v>311</v>
      </c>
      <c r="B48" s="54">
        <v>35</v>
      </c>
      <c r="C48" s="52"/>
      <c r="D48" s="18"/>
      <c r="E48" s="43"/>
      <c r="F48" s="21"/>
    </row>
    <row r="49" spans="1:6" ht="18" customHeight="1" x14ac:dyDescent="0.25">
      <c r="A49" s="50" t="s">
        <v>312</v>
      </c>
      <c r="B49" s="54">
        <v>30</v>
      </c>
      <c r="C49" s="52"/>
      <c r="D49" s="18"/>
      <c r="E49" s="43"/>
      <c r="F49" s="21"/>
    </row>
    <row r="50" spans="1:6" ht="18" customHeight="1" x14ac:dyDescent="0.25">
      <c r="A50" s="50" t="s">
        <v>313</v>
      </c>
      <c r="B50" s="54">
        <v>25</v>
      </c>
      <c r="C50" s="52"/>
      <c r="D50" s="18"/>
      <c r="E50" s="43"/>
      <c r="F50" s="21"/>
    </row>
    <row r="51" spans="1:6" ht="18" customHeight="1" x14ac:dyDescent="0.25">
      <c r="A51" s="50" t="s">
        <v>314</v>
      </c>
      <c r="B51" s="54">
        <v>20</v>
      </c>
      <c r="C51" s="52"/>
      <c r="D51" s="18"/>
      <c r="E51" s="46"/>
      <c r="F51" s="21"/>
    </row>
    <row r="52" spans="1:6" ht="18" customHeight="1" x14ac:dyDescent="0.25">
      <c r="A52" s="50" t="s">
        <v>315</v>
      </c>
      <c r="B52" s="54">
        <v>15</v>
      </c>
      <c r="C52" s="52"/>
      <c r="D52" s="18"/>
      <c r="E52" s="46"/>
      <c r="F52" s="21"/>
    </row>
    <row r="53" spans="1:6" ht="18" customHeight="1" x14ac:dyDescent="0.25">
      <c r="A53" s="50" t="s">
        <v>316</v>
      </c>
      <c r="B53" s="54">
        <v>10</v>
      </c>
      <c r="C53" s="52"/>
      <c r="D53" s="18"/>
      <c r="E53" s="46"/>
      <c r="F53" s="21"/>
    </row>
    <row r="54" spans="1:6" ht="18" customHeight="1" x14ac:dyDescent="0.25">
      <c r="A54" s="50" t="s">
        <v>317</v>
      </c>
      <c r="B54" s="54">
        <v>5</v>
      </c>
      <c r="C54" s="52"/>
      <c r="D54" s="18"/>
      <c r="E54" s="46"/>
      <c r="F54" s="21"/>
    </row>
    <row r="55" spans="1:6" ht="22.5" x14ac:dyDescent="0.25">
      <c r="A55" s="50" t="s">
        <v>130</v>
      </c>
      <c r="B55" s="55">
        <v>70</v>
      </c>
      <c r="C55" s="52" t="s">
        <v>131</v>
      </c>
      <c r="D55" s="18" t="s">
        <v>123</v>
      </c>
      <c r="E55" s="40" t="s">
        <v>14</v>
      </c>
      <c r="F55" s="21" t="s">
        <v>132</v>
      </c>
    </row>
    <row r="56" spans="1:6" ht="22.5" x14ac:dyDescent="0.25">
      <c r="A56" s="50" t="s">
        <v>133</v>
      </c>
      <c r="B56" s="56">
        <v>20</v>
      </c>
      <c r="C56" s="52" t="s">
        <v>134</v>
      </c>
      <c r="D56" s="18" t="s">
        <v>123</v>
      </c>
      <c r="E56" s="43" t="s">
        <v>33</v>
      </c>
      <c r="F56" s="21" t="s">
        <v>135</v>
      </c>
    </row>
    <row r="57" spans="1:6" ht="18" customHeight="1" x14ac:dyDescent="0.25">
      <c r="A57" s="50" t="s">
        <v>136</v>
      </c>
      <c r="B57" s="57">
        <v>0</v>
      </c>
      <c r="C57" s="52" t="s">
        <v>137</v>
      </c>
      <c r="D57" s="18" t="s">
        <v>123</v>
      </c>
      <c r="E57" s="46" t="s">
        <v>18</v>
      </c>
      <c r="F57" s="21" t="s">
        <v>138</v>
      </c>
    </row>
    <row r="58" spans="1:6" ht="18" customHeight="1" x14ac:dyDescent="0.25">
      <c r="A58" s="50" t="s">
        <v>139</v>
      </c>
      <c r="B58" s="58">
        <v>100</v>
      </c>
      <c r="C58" s="52" t="s">
        <v>140</v>
      </c>
      <c r="D58" s="18" t="s">
        <v>141</v>
      </c>
      <c r="E58" s="37" t="s">
        <v>21</v>
      </c>
      <c r="F58" s="21" t="s">
        <v>142</v>
      </c>
    </row>
    <row r="60" spans="1:6" ht="18" customHeight="1" x14ac:dyDescent="0.25">
      <c r="A60" s="10" t="s">
        <v>143</v>
      </c>
      <c r="B60" s="10"/>
      <c r="C60" s="10"/>
      <c r="D60" s="10"/>
      <c r="E60" s="10"/>
      <c r="F60" s="10"/>
    </row>
    <row r="61" spans="1:6" ht="30" customHeight="1" x14ac:dyDescent="0.25">
      <c r="A61" s="3" t="s">
        <v>144</v>
      </c>
      <c r="B61" s="3"/>
      <c r="C61" s="3"/>
      <c r="D61" s="3"/>
      <c r="E61" s="3"/>
      <c r="F61" s="3"/>
    </row>
    <row r="62" spans="1:6" ht="30" customHeight="1" x14ac:dyDescent="0.25">
      <c r="A62" s="15" t="s">
        <v>145</v>
      </c>
      <c r="B62" s="15" t="s">
        <v>146</v>
      </c>
      <c r="C62" s="15" t="s">
        <v>118</v>
      </c>
      <c r="D62" s="15" t="s">
        <v>147</v>
      </c>
      <c r="E62" s="15" t="s">
        <v>7</v>
      </c>
      <c r="F62" s="15" t="s">
        <v>8</v>
      </c>
    </row>
    <row r="63" spans="1:6" ht="18" customHeight="1" x14ac:dyDescent="0.25">
      <c r="A63" s="50" t="s">
        <v>148</v>
      </c>
      <c r="B63" s="26">
        <v>50</v>
      </c>
      <c r="C63" s="18" t="s">
        <v>104</v>
      </c>
      <c r="D63" s="18" t="s">
        <v>105</v>
      </c>
      <c r="E63" s="37" t="s">
        <v>21</v>
      </c>
      <c r="F63" s="21" t="s">
        <v>149</v>
      </c>
    </row>
    <row r="64" spans="1:6" ht="18" customHeight="1" x14ac:dyDescent="0.25">
      <c r="A64" s="50" t="s">
        <v>150</v>
      </c>
      <c r="B64" s="26">
        <v>50</v>
      </c>
      <c r="C64" s="18" t="s">
        <v>104</v>
      </c>
      <c r="D64" s="18" t="s">
        <v>105</v>
      </c>
      <c r="E64" s="37" t="s">
        <v>21</v>
      </c>
      <c r="F64" s="21" t="s">
        <v>151</v>
      </c>
    </row>
    <row r="65" spans="1:6" ht="18" customHeight="1" x14ac:dyDescent="0.25">
      <c r="A65" s="50" t="s">
        <v>152</v>
      </c>
      <c r="B65" s="17">
        <v>100</v>
      </c>
      <c r="C65" s="18" t="s">
        <v>140</v>
      </c>
      <c r="D65" s="18" t="s">
        <v>153</v>
      </c>
      <c r="E65" s="34" t="s">
        <v>10</v>
      </c>
      <c r="F65" s="21" t="s">
        <v>154</v>
      </c>
    </row>
    <row r="66" spans="1:6" ht="18" customHeight="1" x14ac:dyDescent="0.25">
      <c r="A66" s="86">
        <v>0.95</v>
      </c>
      <c r="B66" s="17">
        <v>95</v>
      </c>
      <c r="C66" s="18"/>
      <c r="D66" s="18"/>
      <c r="E66" s="34"/>
      <c r="F66" s="21"/>
    </row>
    <row r="67" spans="1:6" ht="18" customHeight="1" x14ac:dyDescent="0.25">
      <c r="A67" s="86">
        <v>0.9</v>
      </c>
      <c r="B67" s="17">
        <v>90</v>
      </c>
      <c r="C67" s="18"/>
      <c r="D67" s="18"/>
      <c r="E67" s="34"/>
      <c r="F67" s="21"/>
    </row>
    <row r="68" spans="1:6" ht="18" customHeight="1" x14ac:dyDescent="0.25">
      <c r="A68" s="86">
        <v>0.85</v>
      </c>
      <c r="B68" s="17">
        <v>85</v>
      </c>
      <c r="C68" s="18"/>
      <c r="D68" s="18"/>
      <c r="E68" s="34"/>
      <c r="F68" s="21"/>
    </row>
    <row r="69" spans="1:6" ht="18" customHeight="1" x14ac:dyDescent="0.25">
      <c r="A69" s="86">
        <v>0.8</v>
      </c>
      <c r="B69" s="17">
        <v>80</v>
      </c>
      <c r="C69" s="18"/>
      <c r="D69" s="18"/>
      <c r="E69" s="34"/>
      <c r="F69" s="21"/>
    </row>
    <row r="70" spans="1:6" ht="18" customHeight="1" x14ac:dyDescent="0.25">
      <c r="A70" s="86">
        <v>0.75</v>
      </c>
      <c r="B70" s="17">
        <v>75</v>
      </c>
      <c r="C70" s="18"/>
      <c r="D70" s="18"/>
      <c r="E70" s="34"/>
      <c r="F70" s="21"/>
    </row>
    <row r="71" spans="1:6" ht="18" customHeight="1" x14ac:dyDescent="0.25">
      <c r="A71" s="86">
        <v>0.7</v>
      </c>
      <c r="B71" s="17">
        <v>70</v>
      </c>
      <c r="C71" s="18"/>
      <c r="D71" s="18"/>
      <c r="E71" s="34"/>
      <c r="F71" s="21"/>
    </row>
    <row r="72" spans="1:6" ht="18" customHeight="1" x14ac:dyDescent="0.25">
      <c r="A72" s="86">
        <v>0.65</v>
      </c>
      <c r="B72" s="17">
        <v>65</v>
      </c>
      <c r="C72" s="18"/>
      <c r="D72" s="18"/>
      <c r="E72" s="34"/>
      <c r="F72" s="21"/>
    </row>
    <row r="73" spans="1:6" ht="18" customHeight="1" x14ac:dyDescent="0.25">
      <c r="A73" s="86">
        <v>0.6</v>
      </c>
      <c r="B73" s="17">
        <v>60</v>
      </c>
      <c r="C73" s="18"/>
      <c r="D73" s="18"/>
      <c r="E73" s="34"/>
      <c r="F73" s="21"/>
    </row>
    <row r="74" spans="1:6" ht="18" customHeight="1" x14ac:dyDescent="0.25">
      <c r="A74" s="86">
        <v>0.55000000000000104</v>
      </c>
      <c r="B74" s="17">
        <v>55</v>
      </c>
      <c r="C74" s="18"/>
      <c r="D74" s="18"/>
      <c r="E74" s="34"/>
      <c r="F74" s="21"/>
    </row>
    <row r="75" spans="1:6" ht="18" customHeight="1" x14ac:dyDescent="0.25">
      <c r="A75" s="50" t="s">
        <v>155</v>
      </c>
      <c r="B75" s="22">
        <v>50</v>
      </c>
      <c r="C75" s="18" t="s">
        <v>156</v>
      </c>
      <c r="D75" s="18" t="s">
        <v>157</v>
      </c>
      <c r="E75" s="40" t="s">
        <v>14</v>
      </c>
      <c r="F75" s="21" t="s">
        <v>158</v>
      </c>
    </row>
    <row r="76" spans="1:6" ht="18" customHeight="1" x14ac:dyDescent="0.25">
      <c r="A76" s="86">
        <v>0.45000000000000101</v>
      </c>
      <c r="B76" s="22">
        <v>45</v>
      </c>
      <c r="C76" s="18"/>
      <c r="D76" s="18"/>
      <c r="E76" s="40"/>
      <c r="F76" s="21"/>
    </row>
    <row r="77" spans="1:6" ht="18" customHeight="1" x14ac:dyDescent="0.25">
      <c r="A77" s="86">
        <v>0.40000000000000102</v>
      </c>
      <c r="B77" s="22">
        <v>40</v>
      </c>
      <c r="C77" s="18"/>
      <c r="D77" s="18"/>
      <c r="E77" s="40"/>
      <c r="F77" s="21"/>
    </row>
    <row r="78" spans="1:6" ht="18" customHeight="1" x14ac:dyDescent="0.25">
      <c r="A78" s="86">
        <v>0.35000000000000098</v>
      </c>
      <c r="B78" s="22">
        <v>35</v>
      </c>
      <c r="C78" s="18"/>
      <c r="D78" s="18"/>
      <c r="E78" s="40"/>
      <c r="F78" s="21"/>
    </row>
    <row r="79" spans="1:6" ht="18" customHeight="1" x14ac:dyDescent="0.25">
      <c r="A79" s="86">
        <v>0.30000000000000099</v>
      </c>
      <c r="B79" s="22">
        <v>30</v>
      </c>
      <c r="C79" s="18"/>
      <c r="D79" s="18"/>
      <c r="E79" s="40"/>
      <c r="F79" s="21"/>
    </row>
    <row r="80" spans="1:6" ht="18" customHeight="1" x14ac:dyDescent="0.25">
      <c r="A80" s="86">
        <v>0.250000000000001</v>
      </c>
      <c r="B80" s="22">
        <v>25</v>
      </c>
      <c r="C80" s="18"/>
      <c r="D80" s="18"/>
      <c r="E80" s="40"/>
      <c r="F80" s="21"/>
    </row>
    <row r="81" spans="1:6" ht="18" customHeight="1" x14ac:dyDescent="0.25">
      <c r="A81" s="86">
        <v>0.20000000000000101</v>
      </c>
      <c r="B81" s="22">
        <v>20</v>
      </c>
      <c r="C81" s="18"/>
      <c r="D81" s="18"/>
      <c r="E81" s="40"/>
      <c r="F81" s="21"/>
    </row>
    <row r="82" spans="1:6" ht="18" customHeight="1" x14ac:dyDescent="0.25">
      <c r="A82" s="86">
        <v>0.15000000000000099</v>
      </c>
      <c r="B82" s="24">
        <v>15</v>
      </c>
      <c r="C82" s="18"/>
      <c r="D82" s="18"/>
      <c r="E82" s="46"/>
      <c r="F82" s="21"/>
    </row>
    <row r="83" spans="1:6" ht="18" customHeight="1" x14ac:dyDescent="0.25">
      <c r="A83" s="86">
        <v>0.100000000000001</v>
      </c>
      <c r="B83" s="24">
        <v>10</v>
      </c>
      <c r="C83" s="18"/>
      <c r="D83" s="18"/>
      <c r="E83" s="46"/>
      <c r="F83" s="21"/>
    </row>
    <row r="84" spans="1:6" ht="18" customHeight="1" x14ac:dyDescent="0.25">
      <c r="A84" s="86">
        <v>5.0000000000001002E-2</v>
      </c>
      <c r="B84" s="24">
        <v>5</v>
      </c>
      <c r="C84" s="18"/>
      <c r="D84" s="18"/>
      <c r="E84" s="46"/>
      <c r="F84" s="21"/>
    </row>
    <row r="85" spans="1:6" ht="18" customHeight="1" x14ac:dyDescent="0.25">
      <c r="A85" s="50" t="s">
        <v>159</v>
      </c>
      <c r="B85" s="24">
        <v>0</v>
      </c>
      <c r="C85" s="18">
        <f>0</f>
        <v>0</v>
      </c>
      <c r="D85" s="18" t="s">
        <v>160</v>
      </c>
      <c r="E85" s="46" t="s">
        <v>18</v>
      </c>
      <c r="F85" s="21" t="s">
        <v>161</v>
      </c>
    </row>
    <row r="87" spans="1:6" ht="18" customHeight="1" x14ac:dyDescent="0.25">
      <c r="A87" s="8" t="s">
        <v>162</v>
      </c>
      <c r="B87" s="8"/>
      <c r="C87" s="8"/>
      <c r="D87" s="8"/>
      <c r="E87" s="8"/>
      <c r="F87" s="8"/>
    </row>
    <row r="88" spans="1:6" ht="19.5" customHeight="1" x14ac:dyDescent="0.25">
      <c r="A88" s="15" t="s">
        <v>163</v>
      </c>
      <c r="B88" s="15" t="s">
        <v>61</v>
      </c>
      <c r="C88" s="15" t="s">
        <v>62</v>
      </c>
      <c r="D88" s="15" t="s">
        <v>64</v>
      </c>
      <c r="E88" s="15" t="s">
        <v>7</v>
      </c>
      <c r="F88" s="15" t="s">
        <v>8</v>
      </c>
    </row>
    <row r="89" spans="1:6" ht="18" customHeight="1" x14ac:dyDescent="0.25">
      <c r="A89" s="30" t="s">
        <v>164</v>
      </c>
      <c r="B89" s="31">
        <v>91</v>
      </c>
      <c r="C89" s="31">
        <v>100</v>
      </c>
      <c r="D89" s="33" t="s">
        <v>337</v>
      </c>
      <c r="E89" s="34" t="s">
        <v>10</v>
      </c>
      <c r="F89" s="49" t="s">
        <v>165</v>
      </c>
    </row>
    <row r="90" spans="1:6" ht="18" customHeight="1" x14ac:dyDescent="0.25">
      <c r="A90" s="30"/>
      <c r="B90" s="31">
        <v>81</v>
      </c>
      <c r="C90" s="31">
        <v>90</v>
      </c>
      <c r="D90" s="33" t="s">
        <v>66</v>
      </c>
      <c r="E90" s="34"/>
      <c r="F90" s="49"/>
    </row>
    <row r="91" spans="1:6" ht="18" customHeight="1" x14ac:dyDescent="0.25">
      <c r="A91" s="30"/>
      <c r="B91" s="31">
        <v>71</v>
      </c>
      <c r="C91" s="31">
        <v>80</v>
      </c>
      <c r="D91" s="33" t="s">
        <v>68</v>
      </c>
      <c r="E91" s="34"/>
      <c r="F91" s="49"/>
    </row>
    <row r="92" spans="1:6" ht="18" customHeight="1" x14ac:dyDescent="0.25">
      <c r="A92" s="30"/>
      <c r="B92" s="31">
        <v>61</v>
      </c>
      <c r="C92" s="31">
        <v>70</v>
      </c>
      <c r="D92" s="33" t="s">
        <v>15</v>
      </c>
      <c r="E92" s="34"/>
      <c r="F92" s="49"/>
    </row>
    <row r="93" spans="1:6" ht="18" customHeight="1" x14ac:dyDescent="0.25">
      <c r="A93" s="30"/>
      <c r="B93" s="31">
        <v>51</v>
      </c>
      <c r="C93" s="31">
        <v>60</v>
      </c>
      <c r="D93" s="33" t="s">
        <v>338</v>
      </c>
      <c r="E93" s="34"/>
      <c r="F93" s="49"/>
    </row>
    <row r="94" spans="1:6" ht="18" customHeight="1" x14ac:dyDescent="0.25">
      <c r="A94" s="38" t="s">
        <v>166</v>
      </c>
      <c r="B94" s="31">
        <v>41</v>
      </c>
      <c r="C94" s="31">
        <v>50</v>
      </c>
      <c r="D94" s="39" t="s">
        <v>71</v>
      </c>
      <c r="E94" s="40" t="s">
        <v>14</v>
      </c>
      <c r="F94" s="49" t="s">
        <v>167</v>
      </c>
    </row>
    <row r="95" spans="1:6" ht="18" customHeight="1" x14ac:dyDescent="0.25">
      <c r="A95" s="38"/>
      <c r="B95" s="31">
        <v>31</v>
      </c>
      <c r="C95" s="31">
        <v>40</v>
      </c>
      <c r="D95" s="39" t="s">
        <v>339</v>
      </c>
      <c r="E95" s="40"/>
      <c r="F95" s="49"/>
    </row>
    <row r="96" spans="1:6" ht="18" customHeight="1" x14ac:dyDescent="0.25">
      <c r="A96" s="38"/>
      <c r="B96" s="31">
        <v>21</v>
      </c>
      <c r="C96" s="31">
        <v>30</v>
      </c>
      <c r="D96" s="39" t="s">
        <v>340</v>
      </c>
      <c r="E96" s="40"/>
      <c r="F96" s="49"/>
    </row>
    <row r="97" spans="1:6" ht="18" customHeight="1" x14ac:dyDescent="0.25">
      <c r="A97" s="38"/>
      <c r="B97" s="31">
        <v>11</v>
      </c>
      <c r="C97" s="31">
        <v>20</v>
      </c>
      <c r="D97" s="45" t="s">
        <v>73</v>
      </c>
      <c r="E97" s="46"/>
      <c r="F97" s="49"/>
    </row>
    <row r="98" spans="1:6" ht="18" customHeight="1" x14ac:dyDescent="0.25">
      <c r="A98" s="38"/>
      <c r="B98" s="31">
        <v>1</v>
      </c>
      <c r="C98" s="31">
        <v>10</v>
      </c>
      <c r="D98" s="45" t="s">
        <v>46</v>
      </c>
      <c r="E98" s="46"/>
      <c r="F98" s="49"/>
    </row>
    <row r="99" spans="1:6" ht="18" customHeight="1" x14ac:dyDescent="0.25">
      <c r="A99" s="44" t="s">
        <v>168</v>
      </c>
      <c r="B99" s="31">
        <v>0</v>
      </c>
      <c r="C99" s="31">
        <v>0</v>
      </c>
      <c r="D99" s="45" t="s">
        <v>341</v>
      </c>
      <c r="E99" s="46" t="s">
        <v>18</v>
      </c>
      <c r="F99" s="49" t="s">
        <v>169</v>
      </c>
    </row>
  </sheetData>
  <mergeCells count="8">
    <mergeCell ref="A60:F60"/>
    <mergeCell ref="A61:F61"/>
    <mergeCell ref="A87:F87"/>
    <mergeCell ref="A1:F1"/>
    <mergeCell ref="A2:F2"/>
    <mergeCell ref="A4:F4"/>
    <mergeCell ref="A30:F30"/>
    <mergeCell ref="A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BBF24"/>
  </sheetPr>
  <dimension ref="A1:F47"/>
  <sheetViews>
    <sheetView showGridLines="0" tabSelected="1" topLeftCell="A4" zoomScaleNormal="100" workbookViewId="0">
      <selection sqref="A1:F1"/>
    </sheetView>
  </sheetViews>
  <sheetFormatPr defaultColWidth="8.7109375" defaultRowHeight="15" x14ac:dyDescent="0.25"/>
  <cols>
    <col min="1" max="1" width="39.42578125" customWidth="1"/>
    <col min="2" max="5" width="14" customWidth="1"/>
    <col min="6" max="6" width="38" customWidth="1"/>
  </cols>
  <sheetData>
    <row r="1" spans="1:6" ht="21.75" customHeight="1" x14ac:dyDescent="0.25">
      <c r="A1" s="14" t="s">
        <v>170</v>
      </c>
      <c r="B1" s="14"/>
      <c r="C1" s="14"/>
      <c r="D1" s="14"/>
      <c r="E1" s="14"/>
      <c r="F1" s="14"/>
    </row>
    <row r="2" spans="1:6" ht="19.5" customHeight="1" x14ac:dyDescent="0.25">
      <c r="A2" s="2" t="s">
        <v>171</v>
      </c>
      <c r="B2" s="2"/>
      <c r="C2" s="2"/>
      <c r="D2" s="2"/>
      <c r="E2" s="2"/>
      <c r="F2" s="2"/>
    </row>
    <row r="4" spans="1:6" ht="18" customHeight="1" x14ac:dyDescent="0.25">
      <c r="A4" s="1" t="s">
        <v>172</v>
      </c>
      <c r="B4" s="1"/>
      <c r="C4" s="1"/>
      <c r="D4" s="1"/>
      <c r="E4" s="1"/>
      <c r="F4" s="1"/>
    </row>
    <row r="5" spans="1:6" ht="21.75" customHeight="1" x14ac:dyDescent="0.25">
      <c r="A5" s="59" t="s">
        <v>173</v>
      </c>
      <c r="B5" s="79">
        <v>50</v>
      </c>
      <c r="C5" s="79"/>
      <c r="D5" s="80" t="s">
        <v>174</v>
      </c>
      <c r="E5" s="80"/>
      <c r="F5" s="80"/>
    </row>
    <row r="7" spans="1:6" ht="18" customHeight="1" x14ac:dyDescent="0.25">
      <c r="A7" s="81" t="s">
        <v>175</v>
      </c>
      <c r="B7" s="81"/>
      <c r="C7" s="81"/>
      <c r="D7" s="81"/>
      <c r="E7" s="81"/>
      <c r="F7" s="81"/>
    </row>
    <row r="8" spans="1:6" ht="30" customHeight="1" x14ac:dyDescent="0.25">
      <c r="A8" s="15" t="s">
        <v>176</v>
      </c>
      <c r="B8" s="15" t="s">
        <v>177</v>
      </c>
      <c r="C8" s="15" t="s">
        <v>178</v>
      </c>
      <c r="D8" s="15" t="s">
        <v>179</v>
      </c>
      <c r="E8" s="15" t="s">
        <v>180</v>
      </c>
      <c r="F8" s="15" t="s">
        <v>181</v>
      </c>
    </row>
    <row r="9" spans="1:6" ht="21.75" customHeight="1" x14ac:dyDescent="0.25">
      <c r="A9" s="60" t="s">
        <v>182</v>
      </c>
      <c r="B9" s="61" t="s">
        <v>377</v>
      </c>
      <c r="C9" s="62" t="s">
        <v>378</v>
      </c>
      <c r="D9" s="18" t="s">
        <v>185</v>
      </c>
      <c r="E9" s="22" t="s">
        <v>186</v>
      </c>
      <c r="F9" s="21" t="s">
        <v>187</v>
      </c>
    </row>
    <row r="10" spans="1:6" ht="21.75" customHeight="1" x14ac:dyDescent="0.25">
      <c r="A10" s="60"/>
      <c r="B10" s="61" t="s">
        <v>379</v>
      </c>
      <c r="C10" s="62" t="s">
        <v>380</v>
      </c>
      <c r="D10" s="18"/>
      <c r="E10" s="22" t="s">
        <v>381</v>
      </c>
      <c r="F10" s="21"/>
    </row>
    <row r="11" spans="1:6" ht="21.75" customHeight="1" x14ac:dyDescent="0.25">
      <c r="A11" s="60"/>
      <c r="B11" s="61" t="s">
        <v>382</v>
      </c>
      <c r="C11" s="62" t="s">
        <v>383</v>
      </c>
      <c r="D11" s="18"/>
      <c r="E11" s="22" t="s">
        <v>384</v>
      </c>
      <c r="F11" s="21"/>
    </row>
    <row r="12" spans="1:6" ht="21.75" customHeight="1" x14ac:dyDescent="0.25">
      <c r="A12" s="60"/>
      <c r="B12" s="61" t="s">
        <v>183</v>
      </c>
      <c r="C12" s="62" t="s">
        <v>385</v>
      </c>
      <c r="D12" s="18"/>
      <c r="E12" s="22" t="s">
        <v>386</v>
      </c>
      <c r="F12" s="21"/>
    </row>
    <row r="13" spans="1:6" ht="21.75" customHeight="1" x14ac:dyDescent="0.25">
      <c r="A13" s="60"/>
      <c r="B13" s="61" t="s">
        <v>387</v>
      </c>
      <c r="C13" s="62" t="s">
        <v>184</v>
      </c>
      <c r="D13" s="18"/>
      <c r="E13" s="22" t="s">
        <v>388</v>
      </c>
      <c r="F13" s="21"/>
    </row>
    <row r="14" spans="1:6" ht="21.75" customHeight="1" x14ac:dyDescent="0.25">
      <c r="A14" s="60" t="s">
        <v>188</v>
      </c>
      <c r="B14" s="61" t="s">
        <v>389</v>
      </c>
      <c r="C14" s="62" t="s">
        <v>390</v>
      </c>
      <c r="D14" s="18" t="s">
        <v>191</v>
      </c>
      <c r="E14" s="22" t="s">
        <v>186</v>
      </c>
      <c r="F14" s="21" t="s">
        <v>192</v>
      </c>
    </row>
    <row r="15" spans="1:6" ht="21.75" customHeight="1" x14ac:dyDescent="0.25">
      <c r="A15" s="60"/>
      <c r="B15" s="61" t="s">
        <v>391</v>
      </c>
      <c r="C15" s="62" t="s">
        <v>392</v>
      </c>
      <c r="D15" s="18"/>
      <c r="E15" s="22" t="s">
        <v>381</v>
      </c>
      <c r="F15" s="21"/>
    </row>
    <row r="16" spans="1:6" ht="21.75" customHeight="1" x14ac:dyDescent="0.25">
      <c r="A16" s="60"/>
      <c r="B16" s="61" t="s">
        <v>393</v>
      </c>
      <c r="C16" s="62" t="s">
        <v>394</v>
      </c>
      <c r="D16" s="18"/>
      <c r="E16" s="22" t="s">
        <v>384</v>
      </c>
      <c r="F16" s="21"/>
    </row>
    <row r="17" spans="1:6" ht="21.75" customHeight="1" x14ac:dyDescent="0.25">
      <c r="A17" s="60"/>
      <c r="B17" s="61" t="s">
        <v>395</v>
      </c>
      <c r="C17" s="62" t="s">
        <v>190</v>
      </c>
      <c r="D17" s="18"/>
      <c r="E17" s="22" t="s">
        <v>386</v>
      </c>
      <c r="F17" s="21"/>
    </row>
    <row r="18" spans="1:6" ht="21.75" customHeight="1" x14ac:dyDescent="0.25">
      <c r="A18" s="60"/>
      <c r="B18" s="61" t="s">
        <v>189</v>
      </c>
      <c r="C18" s="62" t="s">
        <v>396</v>
      </c>
      <c r="D18" s="18"/>
      <c r="E18" s="22" t="s">
        <v>388</v>
      </c>
      <c r="F18" s="21"/>
    </row>
    <row r="19" spans="1:6" ht="21.75" customHeight="1" x14ac:dyDescent="0.25">
      <c r="A19" s="60"/>
      <c r="B19" s="61" t="s">
        <v>397</v>
      </c>
      <c r="C19" s="62" t="s">
        <v>396</v>
      </c>
      <c r="D19" s="18"/>
      <c r="E19" s="22" t="s">
        <v>398</v>
      </c>
      <c r="F19" s="21"/>
    </row>
    <row r="20" spans="1:6" ht="21.75" customHeight="1" x14ac:dyDescent="0.25">
      <c r="A20" s="60" t="s">
        <v>193</v>
      </c>
      <c r="B20" s="61" t="s">
        <v>399</v>
      </c>
      <c r="C20" s="62" t="s">
        <v>400</v>
      </c>
      <c r="D20" s="18" t="s">
        <v>196</v>
      </c>
      <c r="E20" s="22" t="s">
        <v>186</v>
      </c>
      <c r="F20" s="21" t="s">
        <v>197</v>
      </c>
    </row>
    <row r="21" spans="1:6" ht="21.75" customHeight="1" x14ac:dyDescent="0.25">
      <c r="A21" s="60"/>
      <c r="B21" s="61" t="s">
        <v>194</v>
      </c>
      <c r="C21" s="62" t="s">
        <v>195</v>
      </c>
      <c r="D21" s="18"/>
      <c r="E21" s="22" t="s">
        <v>401</v>
      </c>
      <c r="F21" s="21"/>
    </row>
    <row r="22" spans="1:6" ht="21.75" customHeight="1" x14ac:dyDescent="0.25">
      <c r="A22" s="60"/>
      <c r="B22" s="61" t="s">
        <v>402</v>
      </c>
      <c r="C22" s="62" t="s">
        <v>403</v>
      </c>
      <c r="D22" s="18"/>
      <c r="E22" s="22" t="s">
        <v>398</v>
      </c>
      <c r="F22" s="21"/>
    </row>
    <row r="23" spans="1:6" ht="21.75" customHeight="1" x14ac:dyDescent="0.25">
      <c r="A23" s="60"/>
      <c r="B23" s="61" t="s">
        <v>404</v>
      </c>
      <c r="C23" s="62" t="s">
        <v>405</v>
      </c>
      <c r="D23" s="18"/>
      <c r="E23" s="22" t="s">
        <v>406</v>
      </c>
      <c r="F23" s="21"/>
    </row>
    <row r="24" spans="1:6" ht="21.75" customHeight="1" x14ac:dyDescent="0.25">
      <c r="A24" s="60" t="s">
        <v>198</v>
      </c>
      <c r="B24" s="61" t="s">
        <v>199</v>
      </c>
      <c r="C24" s="62" t="s">
        <v>200</v>
      </c>
      <c r="D24" s="18" t="s">
        <v>185</v>
      </c>
      <c r="E24" s="22" t="s">
        <v>186</v>
      </c>
      <c r="F24" s="21" t="s">
        <v>201</v>
      </c>
    </row>
    <row r="25" spans="1:6" ht="21.75" customHeight="1" x14ac:dyDescent="0.25">
      <c r="A25" s="87"/>
      <c r="B25" s="61" t="s">
        <v>408</v>
      </c>
      <c r="C25" s="62" t="s">
        <v>409</v>
      </c>
      <c r="D25" s="88"/>
      <c r="E25" s="22" t="s">
        <v>401</v>
      </c>
      <c r="F25" s="89"/>
    </row>
    <row r="26" spans="1:6" ht="21.75" customHeight="1" x14ac:dyDescent="0.25">
      <c r="A26" s="87"/>
      <c r="B26" s="61" t="s">
        <v>407</v>
      </c>
      <c r="C26" s="62" t="s">
        <v>410</v>
      </c>
      <c r="D26" s="88"/>
      <c r="E26" s="22" t="s">
        <v>398</v>
      </c>
      <c r="F26" s="89"/>
    </row>
    <row r="28" spans="1:6" ht="18" customHeight="1" x14ac:dyDescent="0.25">
      <c r="A28" s="8" t="s">
        <v>202</v>
      </c>
      <c r="B28" s="8"/>
      <c r="C28" s="8"/>
      <c r="D28" s="8"/>
      <c r="E28" s="8"/>
      <c r="F28" s="8"/>
    </row>
    <row r="29" spans="1:6" ht="19.5" customHeight="1" x14ac:dyDescent="0.25">
      <c r="A29" s="15" t="s">
        <v>203</v>
      </c>
      <c r="B29" s="15" t="s">
        <v>61</v>
      </c>
      <c r="C29" s="15" t="s">
        <v>62</v>
      </c>
      <c r="D29" s="15" t="s">
        <v>64</v>
      </c>
      <c r="E29" s="15" t="s">
        <v>7</v>
      </c>
      <c r="F29" s="15" t="s">
        <v>204</v>
      </c>
    </row>
    <row r="30" spans="1:6" ht="21.75" customHeight="1" x14ac:dyDescent="0.25">
      <c r="A30" s="63" t="s">
        <v>205</v>
      </c>
      <c r="B30" s="64">
        <v>91</v>
      </c>
      <c r="C30" s="64">
        <v>100</v>
      </c>
      <c r="D30" s="65" t="s">
        <v>372</v>
      </c>
      <c r="E30" s="34" t="s">
        <v>10</v>
      </c>
      <c r="F30" s="21" t="s">
        <v>207</v>
      </c>
    </row>
    <row r="31" spans="1:6" ht="21.75" customHeight="1" x14ac:dyDescent="0.25">
      <c r="A31" s="63"/>
      <c r="B31" s="64">
        <v>81</v>
      </c>
      <c r="C31" s="64">
        <v>90</v>
      </c>
      <c r="D31" s="65" t="s">
        <v>374</v>
      </c>
      <c r="E31" s="34"/>
      <c r="F31" s="21"/>
    </row>
    <row r="32" spans="1:6" ht="21.75" customHeight="1" x14ac:dyDescent="0.25">
      <c r="A32" s="63"/>
      <c r="B32" s="64">
        <v>71</v>
      </c>
      <c r="C32" s="64">
        <v>80</v>
      </c>
      <c r="D32" s="65" t="s">
        <v>373</v>
      </c>
      <c r="E32" s="34"/>
      <c r="F32" s="21"/>
    </row>
    <row r="33" spans="1:6" ht="21.75" customHeight="1" x14ac:dyDescent="0.25">
      <c r="A33" s="63"/>
      <c r="B33" s="64">
        <v>61</v>
      </c>
      <c r="C33" s="64">
        <v>70</v>
      </c>
      <c r="D33" s="65" t="s">
        <v>206</v>
      </c>
      <c r="E33" s="34"/>
      <c r="F33" s="21"/>
    </row>
    <row r="34" spans="1:6" ht="21.75" customHeight="1" x14ac:dyDescent="0.25">
      <c r="A34" s="63"/>
      <c r="B34" s="64">
        <v>51</v>
      </c>
      <c r="C34" s="64">
        <v>60</v>
      </c>
      <c r="D34" s="67" t="s">
        <v>370</v>
      </c>
      <c r="E34" s="34"/>
      <c r="F34" s="21"/>
    </row>
    <row r="35" spans="1:6" ht="21.75" customHeight="1" x14ac:dyDescent="0.25">
      <c r="A35" s="66" t="s">
        <v>208</v>
      </c>
      <c r="B35" s="64">
        <v>41</v>
      </c>
      <c r="C35" s="64">
        <v>50</v>
      </c>
      <c r="D35" s="67" t="s">
        <v>209</v>
      </c>
      <c r="E35" s="40" t="s">
        <v>14</v>
      </c>
      <c r="F35" s="21" t="s">
        <v>210</v>
      </c>
    </row>
    <row r="36" spans="1:6" ht="21.75" customHeight="1" x14ac:dyDescent="0.25">
      <c r="A36" s="66"/>
      <c r="B36" s="64">
        <v>31</v>
      </c>
      <c r="C36" s="64">
        <v>40</v>
      </c>
      <c r="D36" s="69" t="s">
        <v>212</v>
      </c>
      <c r="E36" s="40"/>
      <c r="F36" s="21"/>
    </row>
    <row r="37" spans="1:6" ht="21.75" customHeight="1" x14ac:dyDescent="0.25">
      <c r="A37" s="66"/>
      <c r="B37" s="64">
        <v>21</v>
      </c>
      <c r="C37" s="64">
        <v>30</v>
      </c>
      <c r="D37" s="67" t="s">
        <v>371</v>
      </c>
      <c r="E37" s="40"/>
      <c r="F37" s="21"/>
    </row>
    <row r="38" spans="1:6" ht="21.75" customHeight="1" x14ac:dyDescent="0.25">
      <c r="A38" s="66"/>
      <c r="B38" s="64">
        <v>11</v>
      </c>
      <c r="C38" s="64">
        <v>20</v>
      </c>
      <c r="D38" s="67" t="s">
        <v>375</v>
      </c>
      <c r="E38" s="40"/>
      <c r="F38" s="21"/>
    </row>
    <row r="39" spans="1:6" ht="21.75" customHeight="1" x14ac:dyDescent="0.25">
      <c r="A39" s="68" t="s">
        <v>211</v>
      </c>
      <c r="B39" s="64">
        <v>0</v>
      </c>
      <c r="C39" s="64">
        <v>10</v>
      </c>
      <c r="D39" s="69" t="s">
        <v>376</v>
      </c>
      <c r="E39" s="46" t="s">
        <v>18</v>
      </c>
      <c r="F39" s="21" t="s">
        <v>213</v>
      </c>
    </row>
    <row r="41" spans="1:6" ht="18" customHeight="1" x14ac:dyDescent="0.25">
      <c r="A41" s="7" t="s">
        <v>214</v>
      </c>
      <c r="B41" s="7"/>
      <c r="C41" s="7"/>
      <c r="D41" s="7"/>
      <c r="E41" s="7"/>
      <c r="F41" s="7"/>
    </row>
    <row r="42" spans="1:6" ht="18" customHeight="1" x14ac:dyDescent="0.25">
      <c r="A42" s="16" t="s">
        <v>215</v>
      </c>
      <c r="B42" s="22">
        <v>50</v>
      </c>
      <c r="C42" s="18"/>
      <c r="D42" s="39" t="s">
        <v>216</v>
      </c>
      <c r="E42" s="40" t="s">
        <v>14</v>
      </c>
      <c r="F42" s="49" t="s">
        <v>217</v>
      </c>
    </row>
    <row r="43" spans="1:6" ht="18" customHeight="1" x14ac:dyDescent="0.25">
      <c r="A43" s="16" t="s">
        <v>218</v>
      </c>
      <c r="B43" s="24">
        <v>-15</v>
      </c>
      <c r="C43" s="18" t="s">
        <v>219</v>
      </c>
      <c r="D43" s="45" t="s">
        <v>220</v>
      </c>
      <c r="E43" s="46" t="s">
        <v>18</v>
      </c>
      <c r="F43" s="49" t="s">
        <v>221</v>
      </c>
    </row>
    <row r="44" spans="1:6" ht="18" customHeight="1" x14ac:dyDescent="0.25">
      <c r="A44" s="16" t="s">
        <v>222</v>
      </c>
      <c r="B44" s="24">
        <v>-15</v>
      </c>
      <c r="C44" s="18" t="s">
        <v>223</v>
      </c>
      <c r="D44" s="45" t="s">
        <v>224</v>
      </c>
      <c r="E44" s="46" t="s">
        <v>18</v>
      </c>
      <c r="F44" s="49" t="s">
        <v>225</v>
      </c>
    </row>
    <row r="45" spans="1:6" ht="18" customHeight="1" x14ac:dyDescent="0.25">
      <c r="A45" s="16" t="s">
        <v>226</v>
      </c>
      <c r="B45" s="24">
        <v>-15</v>
      </c>
      <c r="C45" s="18" t="s">
        <v>227</v>
      </c>
      <c r="D45" s="45" t="s">
        <v>228</v>
      </c>
      <c r="E45" s="46" t="s">
        <v>18</v>
      </c>
      <c r="F45" s="49" t="s">
        <v>229</v>
      </c>
    </row>
    <row r="46" spans="1:6" ht="18" customHeight="1" x14ac:dyDescent="0.25">
      <c r="A46" s="16" t="s">
        <v>230</v>
      </c>
      <c r="B46" s="70">
        <v>0</v>
      </c>
      <c r="C46" s="18" t="s">
        <v>231</v>
      </c>
      <c r="D46" s="71" t="s">
        <v>228</v>
      </c>
      <c r="E46" s="53" t="s">
        <v>124</v>
      </c>
      <c r="F46" s="49" t="s">
        <v>232</v>
      </c>
    </row>
    <row r="47" spans="1:6" ht="18" customHeight="1" x14ac:dyDescent="0.25">
      <c r="A47" s="16" t="s">
        <v>233</v>
      </c>
      <c r="B47" s="24" t="s">
        <v>234</v>
      </c>
      <c r="C47" s="18"/>
      <c r="D47" s="45" t="s">
        <v>235</v>
      </c>
      <c r="E47" s="46" t="s">
        <v>18</v>
      </c>
      <c r="F47" s="49" t="s">
        <v>236</v>
      </c>
    </row>
  </sheetData>
  <mergeCells count="8">
    <mergeCell ref="A7:F7"/>
    <mergeCell ref="A28:F28"/>
    <mergeCell ref="A41:F41"/>
    <mergeCell ref="A1:F1"/>
    <mergeCell ref="A2:F2"/>
    <mergeCell ref="A4:F4"/>
    <mergeCell ref="B5:C5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923C"/>
  </sheetPr>
  <dimension ref="A1:H30"/>
  <sheetViews>
    <sheetView showGridLines="0" zoomScaleNormal="100" workbookViewId="0">
      <selection activeCell="E8" sqref="E8"/>
    </sheetView>
  </sheetViews>
  <sheetFormatPr defaultColWidth="8.7109375" defaultRowHeight="15" x14ac:dyDescent="0.25"/>
  <cols>
    <col min="1" max="1" width="24" customWidth="1"/>
    <col min="2" max="8" width="12" customWidth="1"/>
    <col min="9" max="9" width="36" customWidth="1"/>
  </cols>
  <sheetData>
    <row r="1" spans="1:8" ht="21.75" customHeight="1" x14ac:dyDescent="0.25">
      <c r="A1" s="14" t="s">
        <v>237</v>
      </c>
      <c r="B1" s="14"/>
      <c r="C1" s="14"/>
      <c r="D1" s="14"/>
      <c r="E1" s="14"/>
      <c r="F1" s="14"/>
      <c r="G1" s="14"/>
      <c r="H1" s="14"/>
    </row>
    <row r="2" spans="1:8" ht="24" customHeight="1" x14ac:dyDescent="0.25">
      <c r="A2" s="13" t="s">
        <v>238</v>
      </c>
      <c r="B2" s="13"/>
      <c r="C2" s="13"/>
      <c r="D2" s="13"/>
      <c r="E2" s="13"/>
      <c r="F2" s="13"/>
      <c r="G2" s="13"/>
      <c r="H2" s="13"/>
    </row>
    <row r="3" spans="1:8" ht="36" customHeight="1" x14ac:dyDescent="0.25">
      <c r="A3" s="15" t="s">
        <v>239</v>
      </c>
      <c r="B3" s="15" t="s">
        <v>240</v>
      </c>
      <c r="C3" s="15" t="s">
        <v>241</v>
      </c>
      <c r="D3" s="15" t="s">
        <v>242</v>
      </c>
      <c r="E3" s="15" t="s">
        <v>243</v>
      </c>
      <c r="F3" s="15" t="s">
        <v>244</v>
      </c>
      <c r="G3" s="15" t="s">
        <v>245</v>
      </c>
      <c r="H3" s="15" t="s">
        <v>246</v>
      </c>
    </row>
    <row r="4" spans="1:8" ht="15.75" customHeight="1" x14ac:dyDescent="0.25">
      <c r="A4" s="82" t="s">
        <v>247</v>
      </c>
      <c r="B4" s="82"/>
      <c r="C4" s="82"/>
      <c r="D4" s="82"/>
      <c r="E4" s="82"/>
      <c r="F4" s="82"/>
      <c r="G4" s="82"/>
      <c r="H4" s="82"/>
    </row>
    <row r="5" spans="1:8" ht="18" customHeight="1" x14ac:dyDescent="0.25">
      <c r="A5" s="60" t="s">
        <v>248</v>
      </c>
      <c r="B5" s="72" t="s">
        <v>249</v>
      </c>
      <c r="C5" s="73" t="s">
        <v>250</v>
      </c>
      <c r="D5" s="74" t="s">
        <v>251</v>
      </c>
      <c r="E5" s="18"/>
      <c r="F5" s="18"/>
      <c r="G5" s="75" t="s">
        <v>252</v>
      </c>
      <c r="H5" s="76" t="s">
        <v>253</v>
      </c>
    </row>
    <row r="6" spans="1:8" ht="18" customHeight="1" x14ac:dyDescent="0.25">
      <c r="A6" s="60" t="s">
        <v>254</v>
      </c>
      <c r="B6" s="72" t="s">
        <v>249</v>
      </c>
      <c r="C6" s="73" t="s">
        <v>250</v>
      </c>
      <c r="D6" s="74" t="s">
        <v>251</v>
      </c>
      <c r="E6" s="18"/>
      <c r="F6" s="18"/>
      <c r="G6" s="75"/>
      <c r="H6" s="76" t="s">
        <v>255</v>
      </c>
    </row>
    <row r="7" spans="1:8" ht="18" customHeight="1" x14ac:dyDescent="0.25">
      <c r="A7" s="60" t="s">
        <v>256</v>
      </c>
      <c r="B7" s="72" t="s">
        <v>249</v>
      </c>
      <c r="C7" s="73" t="s">
        <v>250</v>
      </c>
      <c r="D7" s="74" t="s">
        <v>251</v>
      </c>
      <c r="E7" s="18"/>
      <c r="F7" s="18"/>
      <c r="G7" s="75"/>
      <c r="H7" s="76" t="s">
        <v>257</v>
      </c>
    </row>
    <row r="8" spans="1:8" ht="18" customHeight="1" x14ac:dyDescent="0.25">
      <c r="A8" s="60" t="s">
        <v>258</v>
      </c>
      <c r="B8" s="72" t="s">
        <v>249</v>
      </c>
      <c r="C8" s="73" t="s">
        <v>250</v>
      </c>
      <c r="D8" s="74" t="s">
        <v>251</v>
      </c>
      <c r="E8" s="18"/>
      <c r="F8" s="18"/>
      <c r="G8" s="75"/>
      <c r="H8" s="76" t="s">
        <v>259</v>
      </c>
    </row>
    <row r="9" spans="1:8" ht="15.75" customHeight="1" x14ac:dyDescent="0.25">
      <c r="A9" s="82" t="s">
        <v>260</v>
      </c>
      <c r="B9" s="82"/>
      <c r="C9" s="82"/>
      <c r="D9" s="82"/>
      <c r="E9" s="82"/>
      <c r="F9" s="82"/>
      <c r="G9" s="82"/>
      <c r="H9" s="82"/>
    </row>
    <row r="10" spans="1:8" ht="18" customHeight="1" x14ac:dyDescent="0.25">
      <c r="A10" s="60" t="s">
        <v>261</v>
      </c>
      <c r="B10" s="72" t="s">
        <v>262</v>
      </c>
      <c r="C10" s="74" t="s">
        <v>251</v>
      </c>
      <c r="D10" s="74" t="s">
        <v>251</v>
      </c>
      <c r="E10" s="77">
        <v>20</v>
      </c>
      <c r="F10" s="77">
        <v>8000</v>
      </c>
      <c r="G10" s="75" t="s">
        <v>263</v>
      </c>
      <c r="H10" s="76" t="s">
        <v>264</v>
      </c>
    </row>
    <row r="11" spans="1:8" ht="18" customHeight="1" x14ac:dyDescent="0.25">
      <c r="A11" s="60" t="s">
        <v>265</v>
      </c>
      <c r="B11" s="72" t="s">
        <v>262</v>
      </c>
      <c r="C11" s="74" t="s">
        <v>251</v>
      </c>
      <c r="D11" s="74" t="s">
        <v>251</v>
      </c>
      <c r="E11" s="77">
        <v>15</v>
      </c>
      <c r="F11" s="77">
        <v>6000</v>
      </c>
      <c r="G11" s="75" t="s">
        <v>266</v>
      </c>
      <c r="H11" s="76" t="s">
        <v>267</v>
      </c>
    </row>
    <row r="12" spans="1:8" ht="18" customHeight="1" x14ac:dyDescent="0.25">
      <c r="A12" s="60" t="s">
        <v>268</v>
      </c>
      <c r="B12" s="72" t="s">
        <v>262</v>
      </c>
      <c r="C12" s="74" t="s">
        <v>251</v>
      </c>
      <c r="D12" s="74" t="s">
        <v>251</v>
      </c>
      <c r="E12" s="77">
        <v>25</v>
      </c>
      <c r="F12" s="77">
        <v>10000</v>
      </c>
      <c r="G12" s="75" t="s">
        <v>266</v>
      </c>
      <c r="H12" s="76" t="s">
        <v>269</v>
      </c>
    </row>
    <row r="13" spans="1:8" ht="18" customHeight="1" x14ac:dyDescent="0.25">
      <c r="A13" s="60" t="s">
        <v>270</v>
      </c>
      <c r="B13" s="72" t="s">
        <v>262</v>
      </c>
      <c r="C13" s="74" t="s">
        <v>251</v>
      </c>
      <c r="D13" s="74" t="s">
        <v>251</v>
      </c>
      <c r="E13" s="77">
        <v>5</v>
      </c>
      <c r="F13" s="77">
        <v>2000</v>
      </c>
      <c r="G13" s="75" t="s">
        <v>266</v>
      </c>
      <c r="H13" s="76" t="s">
        <v>271</v>
      </c>
    </row>
    <row r="14" spans="1:8" ht="18" customHeight="1" x14ac:dyDescent="0.25">
      <c r="A14" s="60" t="s">
        <v>272</v>
      </c>
      <c r="B14" s="72" t="s">
        <v>262</v>
      </c>
      <c r="C14" s="74" t="s">
        <v>251</v>
      </c>
      <c r="D14" s="74" t="s">
        <v>251</v>
      </c>
      <c r="E14" s="77">
        <v>5</v>
      </c>
      <c r="F14" s="77">
        <v>2000</v>
      </c>
      <c r="G14" s="75" t="s">
        <v>266</v>
      </c>
      <c r="H14" s="76" t="s">
        <v>273</v>
      </c>
    </row>
    <row r="15" spans="1:8" ht="18" customHeight="1" x14ac:dyDescent="0.25">
      <c r="A15" s="60" t="s">
        <v>274</v>
      </c>
      <c r="B15" s="72" t="s">
        <v>262</v>
      </c>
      <c r="C15" s="74" t="s">
        <v>251</v>
      </c>
      <c r="D15" s="74" t="s">
        <v>251</v>
      </c>
      <c r="E15" s="77">
        <v>3</v>
      </c>
      <c r="F15" s="77">
        <v>1500</v>
      </c>
      <c r="G15" s="75" t="s">
        <v>266</v>
      </c>
      <c r="H15" s="76" t="s">
        <v>275</v>
      </c>
    </row>
    <row r="16" spans="1:8" ht="18" customHeight="1" x14ac:dyDescent="0.25">
      <c r="A16" s="60" t="s">
        <v>276</v>
      </c>
      <c r="B16" s="72" t="s">
        <v>262</v>
      </c>
      <c r="C16" s="74" t="s">
        <v>251</v>
      </c>
      <c r="D16" s="74" t="s">
        <v>251</v>
      </c>
      <c r="E16" s="77">
        <v>5</v>
      </c>
      <c r="F16" s="77">
        <v>2000</v>
      </c>
      <c r="G16" s="75" t="s">
        <v>266</v>
      </c>
      <c r="H16" s="76"/>
    </row>
    <row r="17" spans="1:8" ht="18" customHeight="1" x14ac:dyDescent="0.25">
      <c r="A17" s="60" t="s">
        <v>277</v>
      </c>
      <c r="B17" s="72" t="s">
        <v>262</v>
      </c>
      <c r="C17" s="74" t="s">
        <v>251</v>
      </c>
      <c r="D17" s="74" t="s">
        <v>251</v>
      </c>
      <c r="E17" s="77">
        <v>5</v>
      </c>
      <c r="F17" s="77">
        <v>2000</v>
      </c>
      <c r="G17" s="75" t="s">
        <v>266</v>
      </c>
      <c r="H17" s="76"/>
    </row>
    <row r="18" spans="1:8" ht="18" customHeight="1" x14ac:dyDescent="0.25">
      <c r="A18" s="60" t="s">
        <v>278</v>
      </c>
      <c r="B18" s="72" t="s">
        <v>262</v>
      </c>
      <c r="C18" s="74" t="s">
        <v>251</v>
      </c>
      <c r="D18" s="74" t="s">
        <v>251</v>
      </c>
      <c r="E18" s="77">
        <v>3</v>
      </c>
      <c r="F18" s="77">
        <v>1000</v>
      </c>
      <c r="G18" s="75" t="s">
        <v>266</v>
      </c>
      <c r="H18" s="76"/>
    </row>
    <row r="19" spans="1:8" ht="15.75" customHeight="1" x14ac:dyDescent="0.25">
      <c r="A19" s="82" t="s">
        <v>279</v>
      </c>
      <c r="B19" s="82"/>
      <c r="C19" s="82"/>
      <c r="D19" s="82"/>
      <c r="E19" s="82"/>
      <c r="F19" s="82"/>
      <c r="G19" s="82"/>
      <c r="H19" s="82"/>
    </row>
    <row r="20" spans="1:8" ht="18" customHeight="1" x14ac:dyDescent="0.25">
      <c r="A20" s="60" t="s">
        <v>280</v>
      </c>
      <c r="B20" s="72" t="s">
        <v>262</v>
      </c>
      <c r="C20" s="74" t="s">
        <v>251</v>
      </c>
      <c r="D20" s="78" t="s">
        <v>250</v>
      </c>
      <c r="E20" s="77">
        <v>10</v>
      </c>
      <c r="F20" s="18"/>
      <c r="G20" s="75" t="s">
        <v>266</v>
      </c>
      <c r="H20" s="76" t="s">
        <v>281</v>
      </c>
    </row>
    <row r="21" spans="1:8" ht="18" customHeight="1" x14ac:dyDescent="0.25">
      <c r="A21" s="60" t="s">
        <v>282</v>
      </c>
      <c r="B21" s="72" t="s">
        <v>262</v>
      </c>
      <c r="C21" s="74" t="s">
        <v>251</v>
      </c>
      <c r="D21" s="78" t="s">
        <v>250</v>
      </c>
      <c r="E21" s="77">
        <v>5</v>
      </c>
      <c r="F21" s="18"/>
      <c r="G21" s="75" t="s">
        <v>266</v>
      </c>
      <c r="H21" s="76" t="s">
        <v>283</v>
      </c>
    </row>
    <row r="22" spans="1:8" ht="18" customHeight="1" x14ac:dyDescent="0.25">
      <c r="A22" s="60" t="s">
        <v>284</v>
      </c>
      <c r="B22" s="72" t="s">
        <v>262</v>
      </c>
      <c r="C22" s="74" t="s">
        <v>251</v>
      </c>
      <c r="D22" s="78" t="s">
        <v>250</v>
      </c>
      <c r="E22" s="77">
        <v>3</v>
      </c>
      <c r="F22" s="18"/>
      <c r="G22" s="75" t="s">
        <v>266</v>
      </c>
      <c r="H22" s="76" t="s">
        <v>285</v>
      </c>
    </row>
    <row r="25" spans="1:8" ht="18" customHeight="1" x14ac:dyDescent="0.25">
      <c r="A25" s="8" t="s">
        <v>286</v>
      </c>
      <c r="B25" s="8"/>
      <c r="C25" s="8"/>
      <c r="D25" s="8"/>
      <c r="E25" s="8"/>
      <c r="F25" s="8"/>
      <c r="G25" s="8"/>
      <c r="H25" s="8"/>
    </row>
    <row r="26" spans="1:8" ht="30" customHeight="1" x14ac:dyDescent="0.25">
      <c r="A26" s="83" t="s">
        <v>287</v>
      </c>
      <c r="B26" s="83"/>
      <c r="C26" s="84" t="s">
        <v>288</v>
      </c>
      <c r="D26" s="84"/>
      <c r="E26" s="84"/>
      <c r="F26" s="84"/>
      <c r="G26" s="84"/>
      <c r="H26" s="84"/>
    </row>
    <row r="27" spans="1:8" ht="30" customHeight="1" x14ac:dyDescent="0.25">
      <c r="A27" s="83" t="s">
        <v>289</v>
      </c>
      <c r="B27" s="83"/>
      <c r="C27" s="84" t="s">
        <v>290</v>
      </c>
      <c r="D27" s="84"/>
      <c r="E27" s="84"/>
      <c r="F27" s="84"/>
      <c r="G27" s="84"/>
      <c r="H27" s="84"/>
    </row>
    <row r="28" spans="1:8" ht="30" customHeight="1" x14ac:dyDescent="0.25">
      <c r="A28" s="83" t="s">
        <v>291</v>
      </c>
      <c r="B28" s="83"/>
      <c r="C28" s="84" t="s">
        <v>292</v>
      </c>
      <c r="D28" s="84"/>
      <c r="E28" s="84"/>
      <c r="F28" s="84"/>
      <c r="G28" s="84"/>
      <c r="H28" s="84"/>
    </row>
    <row r="29" spans="1:8" ht="30" customHeight="1" x14ac:dyDescent="0.25">
      <c r="A29" s="83" t="s">
        <v>293</v>
      </c>
      <c r="B29" s="83"/>
      <c r="C29" s="84" t="s">
        <v>294</v>
      </c>
      <c r="D29" s="84"/>
      <c r="E29" s="84"/>
      <c r="F29" s="84"/>
      <c r="G29" s="84"/>
      <c r="H29" s="84"/>
    </row>
    <row r="30" spans="1:8" ht="30" customHeight="1" x14ac:dyDescent="0.25">
      <c r="A30" s="83" t="s">
        <v>295</v>
      </c>
      <c r="B30" s="83"/>
      <c r="C30" s="84" t="s">
        <v>296</v>
      </c>
      <c r="D30" s="84"/>
      <c r="E30" s="84"/>
      <c r="F30" s="84"/>
      <c r="G30" s="84"/>
      <c r="H30" s="84"/>
    </row>
  </sheetData>
  <mergeCells count="16">
    <mergeCell ref="A28:B28"/>
    <mergeCell ref="C28:H28"/>
    <mergeCell ref="A29:B29"/>
    <mergeCell ref="C29:H29"/>
    <mergeCell ref="A30:B30"/>
    <mergeCell ref="C30:H30"/>
    <mergeCell ref="A25:H25"/>
    <mergeCell ref="A26:B26"/>
    <mergeCell ref="C26:H26"/>
    <mergeCell ref="A27:B27"/>
    <mergeCell ref="C27:H27"/>
    <mergeCell ref="A1:H1"/>
    <mergeCell ref="A2:H2"/>
    <mergeCell ref="A4:H4"/>
    <mergeCell ref="A9:H9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1. Finanční skóre</vt:lpstr>
      <vt:lpstr>2. Finanční zdraví</vt:lpstr>
      <vt:lpstr>3. Finanční obraz</vt:lpstr>
      <vt:lpstr>4. Konfigurace kategorií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Milan</cp:lastModifiedBy>
  <cp:revision>0</cp:revision>
  <dcterms:created xsi:type="dcterms:W3CDTF">2026-05-22T07:21:05Z</dcterms:created>
  <dcterms:modified xsi:type="dcterms:W3CDTF">2026-05-22T22:25:23Z</dcterms:modified>
  <dc:language>en-US</dc:language>
</cp:coreProperties>
</file>