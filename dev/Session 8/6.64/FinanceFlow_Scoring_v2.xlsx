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lan\Desktop\FinanceFlow\financeflow\financeflow\Session 8\6.64\"/>
    </mc:Choice>
  </mc:AlternateContent>
  <xr:revisionPtr revIDLastSave="0" documentId="8_{5D28524B-00CB-4419-A3A3-4BBB18DA46DD}" xr6:coauthVersionLast="47" xr6:coauthVersionMax="47" xr10:uidLastSave="{00000000-0000-0000-0000-000000000000}"/>
  <bookViews>
    <workbookView xWindow="-120" yWindow="-120" windowWidth="25440" windowHeight="15390" activeTab="4" xr2:uid="{00000000-000D-0000-FFFF-FFFF00000000}"/>
  </bookViews>
  <sheets>
    <sheet name="S1 Cash flow" sheetId="1" r:id="rId1"/>
    <sheet name="S2 Zadluženost" sheetId="2" r:id="rId2"/>
    <sheet name="S3 Rezerva" sheetId="3" r:id="rId3"/>
    <sheet name="S4 Spoření" sheetId="4" r:id="rId4"/>
    <sheet name="S-Trend+Bonus" sheetId="5" r:id="rId5"/>
    <sheet name="Celkové hodnocení" sheetId="6" r:id="rId6"/>
  </sheets>
  <calcPr calcId="191029"/>
</workbook>
</file>

<file path=xl/calcChain.xml><?xml version="1.0" encoding="utf-8"?>
<calcChain xmlns="http://schemas.openxmlformats.org/spreadsheetml/2006/main">
  <c r="A8" i="6" l="1"/>
</calcChain>
</file>

<file path=xl/sharedStrings.xml><?xml version="1.0" encoding="utf-8"?>
<sst xmlns="http://schemas.openxmlformats.org/spreadsheetml/2006/main" count="510" uniqueCount="285">
  <si>
    <t>💰 SLOŽKA 1: Aktuální Cash Flow (0–25 bodů) — Výdaje/Příjmy tento měsíc</t>
  </si>
  <si>
    <t>MĚŘÍ: expRatio = totalExp / totalInc za aktuální měsíc. Nezávislá na rezervě ani spoření. Bez příjmů = 12 bodů (neutrální).</t>
  </si>
  <si>
    <t>Podmínka (expRatio = Výdaje / Příjmy)</t>
  </si>
  <si>
    <t>Body (0–25)</t>
  </si>
  <si>
    <t>Barva</t>
  </si>
  <si>
    <t>Komentář</t>
  </si>
  <si>
    <t>expRatio ≤ 0.50  (výdaje max 50 % příjmů)</t>
  </si>
  <si>
    <t>4ADE80</t>
  </si>
  <si>
    <t>Výborné — spoříš ≥50 %</t>
  </si>
  <si>
    <t>0.50 &lt; ratio ≤ 0.54</t>
  </si>
  <si>
    <t>0.54 &lt; ratio ≤ 0.58</t>
  </si>
  <si>
    <t>0.58 &lt; ratio ≤ 0.62</t>
  </si>
  <si>
    <t>0.62 &lt; ratio ≤ 0.66</t>
  </si>
  <si>
    <t>0.66 &lt; ratio ≤ 0.70</t>
  </si>
  <si>
    <t>Dobrá bezpečná zóna</t>
  </si>
  <si>
    <t>0.70 &lt; ratio ≤ 0.73</t>
  </si>
  <si>
    <t>7FB069</t>
  </si>
  <si>
    <t>0.73 &lt; ratio ≤ 0.76</t>
  </si>
  <si>
    <t>0.76 &lt; ratio ≤ 0.79</t>
  </si>
  <si>
    <t>0.79 &lt; ratio ≤ 0.82</t>
  </si>
  <si>
    <t>0.82 &lt; ratio ≤ 0.85</t>
  </si>
  <si>
    <t>FBBF24</t>
  </si>
  <si>
    <t>Mírné napětí</t>
  </si>
  <si>
    <t>0.85 &lt; ratio ≤ 0.88</t>
  </si>
  <si>
    <t>0.88 &lt; ratio ≤ 0.91</t>
  </si>
  <si>
    <t>0.91 &lt; ratio ≤ 0.94</t>
  </si>
  <si>
    <t>0.94 &lt; ratio ≤ 0.97</t>
  </si>
  <si>
    <t>0.97 &lt; ratio ≤ 1.00</t>
  </si>
  <si>
    <t>Na hraně — výdaje = příjmy</t>
  </si>
  <si>
    <t>1.00 &lt; ratio ≤ 1.04</t>
  </si>
  <si>
    <t>FB923C</t>
  </si>
  <si>
    <t>Výdaje mírně překračují příjmy</t>
  </si>
  <si>
    <t>1.04 &lt; ratio ≤ 1.08</t>
  </si>
  <si>
    <t>1.08 &lt; ratio ≤ 1.12</t>
  </si>
  <si>
    <t>1.12 &lt; ratio ≤ 1.17</t>
  </si>
  <si>
    <t>1.17 &lt; ratio ≤ 1.22</t>
  </si>
  <si>
    <t>1.22 &lt; ratio ≤ 1.28</t>
  </si>
  <si>
    <t>F87171</t>
  </si>
  <si>
    <t>Kritická zóna</t>
  </si>
  <si>
    <t>1.28 &lt; ratio ≤ 1.35</t>
  </si>
  <si>
    <t>1.35 &lt; ratio ≤ 1.45</t>
  </si>
  <si>
    <t>1.45 &lt; ratio ≤ 1.60</t>
  </si>
  <si>
    <t>ratio &gt; 1.60</t>
  </si>
  <si>
    <t>Výdaje 1.6× příjmy — kritické</t>
  </si>
  <si>
    <t>Žádné příjmy (no data)</t>
  </si>
  <si>
    <t>60A5FA</t>
  </si>
  <si>
    <t>Neutrální default</t>
  </si>
  <si>
    <t>🏦 SLOŽKA 2: Zadluženost (0–25 bodů) = DTI (0–13b) + DSTI (0–12b) samostatně</t>
  </si>
  <si>
    <t>DTI = Celkový dluh / Roční příjem. DSTI = Měsíční splátky / Měsíční baseIncome. Bez dluhů = 25 bodů (13+12). Obě složky NEZÁVISLÉ — různé profily dluhů.</t>
  </si>
  <si>
    <t xml:space="preserve">  DTI — Celkový dluh / Roční příjem  (0–13 bodů)</t>
  </si>
  <si>
    <t>Podmínka (DTI = dluh / roční příjem)</t>
  </si>
  <si>
    <t>Body (0–13)</t>
  </si>
  <si>
    <t>Žádné dluhy</t>
  </si>
  <si>
    <t>Ideální</t>
  </si>
  <si>
    <t>DTI ≤ 50 %</t>
  </si>
  <si>
    <t>Velmi nízký dluh</t>
  </si>
  <si>
    <t>50 % &lt; DTI ≤ 100 %</t>
  </si>
  <si>
    <t>100 % &lt; DTI ≤ 150 %</t>
  </si>
  <si>
    <t>150 % &lt; DTI ≤ 200 %</t>
  </si>
  <si>
    <t>200 % &lt; DTI ≤ 250 %</t>
  </si>
  <si>
    <t>Střední zadlužení</t>
  </si>
  <si>
    <t>250 % &lt; DTI ≤ 300 %</t>
  </si>
  <si>
    <t>300 % &lt; DTI ≤ 350 %</t>
  </si>
  <si>
    <t>350 % &lt; DTI ≤ 400 %</t>
  </si>
  <si>
    <t>400 % &lt; DTI ≤ 500 %</t>
  </si>
  <si>
    <t>Hypotéka je OK</t>
  </si>
  <si>
    <t>500 % &lt; DTI ≤ 600 %</t>
  </si>
  <si>
    <t>Vysoký dluh</t>
  </si>
  <si>
    <t>600 % &lt; DTI ≤ 700 %</t>
  </si>
  <si>
    <t>700 % &lt; DTI ≤ 800 %</t>
  </si>
  <si>
    <t>800 % &lt; DTI ≤ 900 %</t>
  </si>
  <si>
    <t>Kritické</t>
  </si>
  <si>
    <t>DTI &gt; 900 %</t>
  </si>
  <si>
    <t>Extrémní zadlužení</t>
  </si>
  <si>
    <t xml:space="preserve">  DSTI — Měsíční splátky / Měsíční příjem  (0–12 bodů)</t>
  </si>
  <si>
    <t>Podmínka (DSTI = splátky / baseIncome)</t>
  </si>
  <si>
    <t>Body (0–12)</t>
  </si>
  <si>
    <t>DSTI ≤ 5 %</t>
  </si>
  <si>
    <t>Minimální zatížení</t>
  </si>
  <si>
    <t>5 % &lt; DSTI ≤ 10 %</t>
  </si>
  <si>
    <t>10 % &lt; DSTI ≤ 15 %</t>
  </si>
  <si>
    <t>15 % &lt; DSTI ≤ 20 %</t>
  </si>
  <si>
    <t>Standardní hypotéka</t>
  </si>
  <si>
    <t>20 % &lt; DSTI ≤ 25 %</t>
  </si>
  <si>
    <t>25 % &lt; DSTI ≤ 30 %</t>
  </si>
  <si>
    <t>ČNB doporučuje max 40 %</t>
  </si>
  <si>
    <t>30 % &lt; DSTI ≤ 35 %</t>
  </si>
  <si>
    <t>35 % &lt; DSTI ≤ 40 %</t>
  </si>
  <si>
    <t>Na hranici ČNB</t>
  </si>
  <si>
    <t>40 % &lt; DSTI ≤ 45 %</t>
  </si>
  <si>
    <t>Nad doporučením ČNB</t>
  </si>
  <si>
    <t>45 % &lt; DSTI ≤ 50 %</t>
  </si>
  <si>
    <t>50 % &lt; DSTI ≤ 55 %</t>
  </si>
  <si>
    <t>55 % &lt; DSTI ≤ 60 %</t>
  </si>
  <si>
    <t>DSTI &gt; 60 %</t>
  </si>
  <si>
    <t>Extrémní – hrozí nesplácení</t>
  </si>
  <si>
    <t>🐷 SLOŽKA 3: Rezerva (0–25 bodů) — monthsReserve = Úspory / baseIncome</t>
  </si>
  <si>
    <t>POUZE rezerva v měsících. Nezávislá na aktuálním saldu (FIX dvojitého postihu). baseIncome = průměr 3M stabilních příjmů. Bez baseIncome = 12b (neutral). Cíl: 6 měsíců.</t>
  </si>
  <si>
    <t>Podmínka (monthsReserve = úspory / baseIncome)</t>
  </si>
  <si>
    <t>monthsReserve ≥ 6.0 měsíců</t>
  </si>
  <si>
    <t>Cíl splněn — 6M rezerva</t>
  </si>
  <si>
    <t>5.5 ≤ reserve &lt; 6.0</t>
  </si>
  <si>
    <t>5.0 ≤ reserve &lt; 5.5</t>
  </si>
  <si>
    <t>4.5 ≤ reserve &lt; 5.0</t>
  </si>
  <si>
    <t>4.0 ≤ reserve &lt; 4.5</t>
  </si>
  <si>
    <t>Výborná rezerva</t>
  </si>
  <si>
    <t>3.5 ≤ reserve &lt; 4.0</t>
  </si>
  <si>
    <t>3.0 ≤ reserve &lt; 3.5</t>
  </si>
  <si>
    <t>Minimální standard</t>
  </si>
  <si>
    <t>2.5 ≤ reserve &lt; 3.0</t>
  </si>
  <si>
    <t>2.0 ≤ reserve &lt; 2.5</t>
  </si>
  <si>
    <t>1.5 ≤ reserve &lt; 2.0</t>
  </si>
  <si>
    <t>Slabá rezerva</t>
  </si>
  <si>
    <t>1.0 ≤ reserve &lt; 1.5</t>
  </si>
  <si>
    <t>0.75 ≤ reserve &lt; 1.0</t>
  </si>
  <si>
    <t>Méně než měsíc</t>
  </si>
  <si>
    <t>0.50 ≤ reserve &lt; 0.75</t>
  </si>
  <si>
    <t>0.25 ≤ reserve &lt; 0.50</t>
  </si>
  <si>
    <t>Kriticky nízká</t>
  </si>
  <si>
    <t>0.10 ≤ reserve &lt; 0.25</t>
  </si>
  <si>
    <t>reserve &lt; 0.10</t>
  </si>
  <si>
    <t>Žádná rezerva</t>
  </si>
  <si>
    <t>baseIncome = 0 (no data)</t>
  </si>
  <si>
    <t>💎 SLOŽKA 4: Spoření (0–25 bodů) — Aktivní spoření / baseIncome</t>
  </si>
  <si>
    <t>savingRate = suma isSaving kategorií / baseIncome. NEZÁVISLÉ na aktuálním saldu (FIX). Bez baseIncome nebo savingCats = 12b. Cíl: spoř aspoň 10 % příjmu.</t>
  </si>
  <si>
    <t>Podmínka (savingRate = isSaving / baseIncome)</t>
  </si>
  <si>
    <t>savingRate ≥ 25 %</t>
  </si>
  <si>
    <t>Výborné — 1/4 příjmu spoříš</t>
  </si>
  <si>
    <t>23 % ≤ rate &lt; 25 %</t>
  </si>
  <si>
    <t>21 % ≤ rate &lt; 23 %</t>
  </si>
  <si>
    <t>19 % ≤ rate &lt; 21 %</t>
  </si>
  <si>
    <t>17 % ≤ rate &lt; 19 %</t>
  </si>
  <si>
    <t>15 % ≤ rate &lt; 17 %</t>
  </si>
  <si>
    <t>Solidní spoření</t>
  </si>
  <si>
    <t>13 % ≤ rate &lt; 15 %</t>
  </si>
  <si>
    <t>11 % ≤ rate &lt; 13 %</t>
  </si>
  <si>
    <t>9 % ≤ rate &lt; 11 %</t>
  </si>
  <si>
    <t>Na doporučeném minimu</t>
  </si>
  <si>
    <t>7 % ≤ rate &lt; 9 %</t>
  </si>
  <si>
    <t>Mírně pod doporučením</t>
  </si>
  <si>
    <t>5 % ≤ rate &lt; 7 %</t>
  </si>
  <si>
    <t>4 % ≤ rate &lt; 5 %</t>
  </si>
  <si>
    <t>3 % ≤ rate &lt; 4 %</t>
  </si>
  <si>
    <t>2 % ≤ rate &lt; 3 %</t>
  </si>
  <si>
    <t>1 % ≤ rate &lt; 2 %</t>
  </si>
  <si>
    <t>Symbolické spoření</t>
  </si>
  <si>
    <t>0 % &lt; rate &lt; 1 %</t>
  </si>
  <si>
    <t>rate = 0 %</t>
  </si>
  <si>
    <t>Nespoříš nic</t>
  </si>
  <si>
    <t>baseIncome = 0 / no savingCats</t>
  </si>
  <si>
    <t>Neutrální — konfigurace chybí</t>
  </si>
  <si>
    <t>📈 TREND (±body per kritérium) + KONZISTENČNÍ BONUS</t>
  </si>
  <si>
    <t>Základní score Finančního obrazu = 50. Každé kritérium přidá nebo ubere body dle tabulky. Na konci přidán konzistenční bonus za nepřetržité měsíce zlepšení (cap 100).</t>
  </si>
  <si>
    <t xml:space="preserve">  KRITÉRIA TRENDU (srovnání baseline vs aktuální měsíc)</t>
  </si>
  <si>
    <t>Kritérium</t>
  </si>
  <si>
    <t>Podmínka</t>
  </si>
  <si>
    <t>Body</t>
  </si>
  <si>
    <t>💰 Příjmy</t>
  </si>
  <si>
    <t>vzrostly &gt; +20 % vs baseline</t>
  </si>
  <si>
    <t>+15</t>
  </si>
  <si>
    <t>Výrazné zlepšení</t>
  </si>
  <si>
    <t>vzrostly &gt; +15 %</t>
  </si>
  <si>
    <t>+13</t>
  </si>
  <si>
    <t>vzrostly &gt; +10 %</t>
  </si>
  <si>
    <t>+11</t>
  </si>
  <si>
    <t>vzrostly &gt; +5 %</t>
  </si>
  <si>
    <t>+9</t>
  </si>
  <si>
    <t>vzrostly &gt; +1 %</t>
  </si>
  <si>
    <t>+7</t>
  </si>
  <si>
    <t>Mírné zlepšení</t>
  </si>
  <si>
    <t>změna v rozsahu ±1 %</t>
  </si>
  <si>
    <t>0</t>
  </si>
  <si>
    <t>94A3B8</t>
  </si>
  <si>
    <t>Bez změny</t>
  </si>
  <si>
    <t>klesly &gt; -5 %</t>
  </si>
  <si>
    <t>-7</t>
  </si>
  <si>
    <t>klesly &gt; -15 %</t>
  </si>
  <si>
    <t>-9</t>
  </si>
  <si>
    <t>klesly &gt; -25 %</t>
  </si>
  <si>
    <t>-11</t>
  </si>
  <si>
    <t>klesly &gt; -35 %</t>
  </si>
  <si>
    <t>-13</t>
  </si>
  <si>
    <t>klesly ≥ -35 %</t>
  </si>
  <si>
    <t>-15</t>
  </si>
  <si>
    <t>Výrazné zhoršení</t>
  </si>
  <si>
    <t>💸 Výdaje</t>
  </si>
  <si>
    <t>klesly &gt; -25 % vs baseline</t>
  </si>
  <si>
    <t>Výrazná úspora</t>
  </si>
  <si>
    <t>klesly &gt; -20 %</t>
  </si>
  <si>
    <t>klesly &gt; -10 %</t>
  </si>
  <si>
    <t>klesly &gt; -1 %</t>
  </si>
  <si>
    <t>+5</t>
  </si>
  <si>
    <t>Mírná úspora</t>
  </si>
  <si>
    <t>vzrostly &gt; +20 %</t>
  </si>
  <si>
    <t>vzrostly ≥ +25 %</t>
  </si>
  <si>
    <t>🐷 Saldo</t>
  </si>
  <si>
    <t>vzrostlo &gt; +15 % vs baseline</t>
  </si>
  <si>
    <t>vzrostlo &gt; +10 %</t>
  </si>
  <si>
    <t>+10</t>
  </si>
  <si>
    <t>vzrostlo &gt; +5 %</t>
  </si>
  <si>
    <t>vzrostlo &gt; +1 %</t>
  </si>
  <si>
    <t>+1</t>
  </si>
  <si>
    <t>kleslo &lt; -1 %</t>
  </si>
  <si>
    <t>-1</t>
  </si>
  <si>
    <t>kleslo &lt; -5 %</t>
  </si>
  <si>
    <t>-5</t>
  </si>
  <si>
    <t>kleslo &lt; -10 %</t>
  </si>
  <si>
    <t>-10</t>
  </si>
  <si>
    <t>kleslo ≥ -15 %</t>
  </si>
  <si>
    <t>🏦 Dluhy</t>
  </si>
  <si>
    <t>klesly &gt; -5 % vs baseline</t>
  </si>
  <si>
    <t>Splácíš</t>
  </si>
  <si>
    <t>klesly &gt; -3 %</t>
  </si>
  <si>
    <t>změna ±1 %</t>
  </si>
  <si>
    <t>vzrostly &gt; +3 %</t>
  </si>
  <si>
    <t>vzrostly ≥ +5 %</t>
  </si>
  <si>
    <t>Bereš nové dluhy</t>
  </si>
  <si>
    <t xml:space="preserve">  🎯 KONZISTENČNÍ BONUS — za nepřetržité měsíce zlepšení (přičítá se k celkovému skóre, cap 100)</t>
  </si>
  <si>
    <t>Počet po sobě jdoucích měsíců zlepšení</t>
  </si>
  <si>
    <t>Bonus bodů</t>
  </si>
  <si>
    <t>Kumulativní</t>
  </si>
  <si>
    <t>2 měsíce zlepšení po sobě</t>
  </si>
  <si>
    <t>+2</t>
  </si>
  <si>
    <t>Začínáš trend</t>
  </si>
  <si>
    <t>3 měsíce</t>
  </si>
  <si>
    <t>+3</t>
  </si>
  <si>
    <t>4 měsíce</t>
  </si>
  <si>
    <t>+4</t>
  </si>
  <si>
    <t>Konzistentní trend</t>
  </si>
  <si>
    <t>5 měsíců</t>
  </si>
  <si>
    <t>6 měsíců</t>
  </si>
  <si>
    <t>Max bonus — cap</t>
  </si>
  <si>
    <t>Přerušení trendu</t>
  </si>
  <si>
    <t>reset</t>
  </si>
  <si>
    <t>Counter se nuluje</t>
  </si>
  <si>
    <t>🏆 CELKOVÉ HODNOCENÍ FINANČNÍHO SKÓRE (max 100 + bonus)</t>
  </si>
  <si>
    <t>Celkové skóre = S1(25) + S2-DTI(13) + S2-DSTI(12) + S3(25) + S4(25) = max 100. Konzistenční bonus přidá až +15 (strop 100). 4 nezávislé složky bez dvojitého postihu.</t>
  </si>
  <si>
    <t>PROČ 4 NEZÁVISLÉ SLOŽKY (Option C)</t>
  </si>
  <si>
    <t>PŘED (starý systém)</t>
  </si>
  <si>
    <t>ZA (nový systém)</t>
  </si>
  <si>
    <t>Dopad</t>
  </si>
  <si>
    <t>S1: expRatio = výdaje/příjmy</t>
  </si>
  <si>
    <t>S1: expRatio = výdaje/příjmy (STEJNÉ)</t>
  </si>
  <si>
    <t>Beze změny</t>
  </si>
  <si>
    <t>S3: savingRate + monthsReserve SPOLU</t>
  </si>
  <si>
    <t>S3: monthsReserve ONLY (historická rezerva)</t>
  </si>
  <si>
    <t>FIX: bez záporného postihu při špatném měsíci</t>
  </si>
  <si>
    <t>S4: activeSavingRate (isSaving kategorie)</t>
  </si>
  <si>
    <t>FIX: spoření = aktivní chování, ne výsledek</t>
  </si>
  <si>
    <t>S2: DTI+DSTI kombinovaně</t>
  </si>
  <si>
    <t>S2: DTI (13b) + DSTI (12b) NEZÁVISLE</t>
  </si>
  <si>
    <t>Přesnější — různé dluhové profily</t>
  </si>
  <si>
    <t>HODNOTÍCÍ STUPNICE (po doladění = jednobodové rozestupy)</t>
  </si>
  <si>
    <t>Celkové skóre</t>
  </si>
  <si>
    <t>Min</t>
  </si>
  <si>
    <t>Max</t>
  </si>
  <si>
    <t>Emoji</t>
  </si>
  <si>
    <t>Label</t>
  </si>
  <si>
    <t>Výborné</t>
  </si>
  <si>
    <t>🏆</t>
  </si>
  <si>
    <t>Velmi dobré</t>
  </si>
  <si>
    <t>⭐</t>
  </si>
  <si>
    <t>Dobré</t>
  </si>
  <si>
    <t>👍</t>
  </si>
  <si>
    <t>Průměrné</t>
  </si>
  <si>
    <t>📊</t>
  </si>
  <si>
    <t>Rizikové</t>
  </si>
  <si>
    <t>⚠️</t>
  </si>
  <si>
    <t>🚨</t>
  </si>
  <si>
    <t>📌 K DISKUSI — BUDOUCÍ ROZŠÍŘENÍ</t>
  </si>
  <si>
    <t>Moving average</t>
  </si>
  <si>
    <t>Průběžný klouzavý průměr (3M, 6M) pro vyhlazení výkyvů</t>
  </si>
  <si>
    <t>Až bude více dat (min. 6 měsíců)</t>
  </si>
  <si>
    <t>Confidence score</t>
  </si>
  <si>
    <t>Komplexnost dat: více kategorií + více měsíců = vyšší jistota skóre</t>
  </si>
  <si>
    <t>Session 9+</t>
  </si>
  <si>
    <t>Váhy kategorií příjmů</t>
  </si>
  <si>
    <t>Zaměstnání &gt; Brigáda &gt; Cashback &gt; Dary &gt; Investice &gt; OSVČ</t>
  </si>
  <si>
    <t>Session 9 — po konfiguraci kategorií</t>
  </si>
  <si>
    <t>Inflace</t>
  </si>
  <si>
    <t>Zohledňovat reálnou kupní sílu</t>
  </si>
  <si>
    <t>Dlouhodobě</t>
  </si>
  <si>
    <t>Premium Plus</t>
  </si>
  <si>
    <t>Navýšení max bodů (100→150) při přidání nových složek</t>
  </si>
  <si>
    <t>Až budou finance.cz kurzy, ČNB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</si>
</sst>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i/>
      <sz val="8"/>
      <color rgb="FF60A5FA"/>
      <name val="Arial"/>
    </font>
    <font>
      <b/>
      <sz val="9"/>
      <color rgb="FF94A3B8"/>
      <name val="Arial"/>
    </font>
    <font>
      <sz val="9"/>
      <color rgb="FFE2E8F0"/>
      <name val="Arial"/>
    </font>
    <font>
      <b/>
      <sz val="11"/>
      <color rgb="FF4ADE80"/>
      <name val="Arial"/>
    </font>
    <font>
      <sz val="8"/>
      <color rgb="FF000000"/>
      <name val="Arial"/>
    </font>
    <font>
      <i/>
      <sz val="8"/>
      <color rgb="FF94A3B8"/>
      <name val="Arial"/>
    </font>
    <font>
      <b/>
      <sz val="11"/>
      <color rgb="FF7FB069"/>
      <name val="Arial"/>
    </font>
    <font>
      <b/>
      <sz val="11"/>
      <color rgb="FFFBBF24"/>
      <name val="Arial"/>
    </font>
    <font>
      <b/>
      <sz val="11"/>
      <color rgb="FFFB923C"/>
      <name val="Arial"/>
    </font>
    <font>
      <b/>
      <sz val="11"/>
      <color rgb="FFF87171"/>
      <name val="Arial"/>
    </font>
    <font>
      <b/>
      <sz val="11"/>
      <color rgb="FF60A5FA"/>
      <name val="Arial"/>
    </font>
    <font>
      <b/>
      <sz val="12"/>
      <color rgb="FFFFFFFF"/>
      <name val="Arial"/>
    </font>
    <font>
      <b/>
      <sz val="11"/>
      <color rgb="FFA78BFA"/>
      <name val="Arial"/>
    </font>
    <font>
      <i/>
      <sz val="8"/>
      <color rgb="FF4ADE80"/>
      <name val="Arial"/>
    </font>
    <font>
      <i/>
      <sz val="8"/>
      <color rgb="FFFBBF24"/>
      <name val="Arial"/>
    </font>
    <font>
      <i/>
      <sz val="8"/>
      <color rgb="FFFB923C"/>
      <name val="Arial"/>
    </font>
    <font>
      <b/>
      <sz val="9"/>
      <color rgb="FF4ADE80"/>
      <name val="Arial"/>
    </font>
    <font>
      <sz val="8"/>
      <color rgb="FFE2E8F0"/>
      <name val="Arial"/>
    </font>
    <font>
      <b/>
      <sz val="9"/>
      <color rgb="FF7FB069"/>
      <name val="Arial"/>
    </font>
    <font>
      <b/>
      <sz val="9"/>
      <color rgb="FFFBBF24"/>
      <name val="Arial"/>
    </font>
    <font>
      <b/>
      <sz val="11"/>
      <color rgb="FF94A3B8"/>
      <name val="Arial"/>
    </font>
    <font>
      <b/>
      <sz val="9"/>
      <color rgb="FFFB923C"/>
      <name val="Arial"/>
    </font>
    <font>
      <b/>
      <sz val="9"/>
      <color rgb="FFF87171"/>
      <name val="Arial"/>
    </font>
    <font>
      <b/>
      <sz val="12"/>
      <color rgb="FF4ADE80"/>
      <name val="Arial"/>
    </font>
    <font>
      <b/>
      <sz val="12"/>
      <color rgb="FFFBBF24"/>
      <name val="Arial"/>
    </font>
    <font>
      <b/>
      <sz val="12"/>
      <color rgb="FF7FB069"/>
      <name val="Arial"/>
    </font>
    <font>
      <b/>
      <sz val="12"/>
      <color rgb="FFF87171"/>
      <name val="Arial"/>
    </font>
    <font>
      <b/>
      <sz val="13"/>
      <color rgb="FFFFFFFF"/>
      <name val="Arial"/>
    </font>
    <font>
      <i/>
      <sz val="9"/>
      <color rgb="FF60A5FA"/>
      <name val="Arial"/>
    </font>
    <font>
      <sz val="9"/>
      <color rgb="FF4ADE80"/>
      <name val="Arial"/>
    </font>
    <font>
      <b/>
      <sz val="10"/>
      <color rgb="FF4ADE80"/>
      <name val="Arial"/>
    </font>
    <font>
      <b/>
      <sz val="10"/>
      <color rgb="FFE2E8F0"/>
      <name val="Arial"/>
    </font>
    <font>
      <sz val="12"/>
      <color rgb="FFE2E8F0"/>
      <name val="Arial"/>
    </font>
    <font>
      <b/>
      <sz val="10"/>
      <color rgb="FF60A5FA"/>
      <name val="Arial"/>
    </font>
    <font>
      <b/>
      <sz val="10"/>
      <color rgb="FFFBBF24"/>
      <name val="Arial"/>
    </font>
    <font>
      <b/>
      <sz val="10"/>
      <color rgb="FFFB923C"/>
      <name val="Arial"/>
    </font>
    <font>
      <b/>
      <sz val="10"/>
      <color rgb="FFF87171"/>
      <name val="Arial"/>
    </font>
    <font>
      <b/>
      <sz val="10"/>
      <color rgb="FF94A3B8"/>
      <name val="Arial"/>
    </font>
  </fonts>
  <fills count="27">
    <fill>
      <patternFill patternType="none"/>
    </fill>
    <fill>
      <patternFill patternType="gray125"/>
    </fill>
    <fill>
      <patternFill patternType="solid">
        <fgColor rgb="FF4ADE80"/>
        <bgColor rgb="FF4ADE80"/>
      </patternFill>
    </fill>
    <fill>
      <patternFill patternType="solid">
        <fgColor rgb="FF161B26"/>
        <bgColor rgb="FF161B26"/>
      </patternFill>
    </fill>
    <fill>
      <patternFill patternType="solid">
        <fgColor rgb="FF1E2535"/>
        <bgColor rgb="FF1E2535"/>
      </patternFill>
    </fill>
    <fill>
      <patternFill patternType="solid">
        <fgColor rgb="FF0F1117"/>
        <bgColor rgb="FF0F1117"/>
      </patternFill>
    </fill>
    <fill>
      <patternFill patternType="solid">
        <fgColor rgb="FF162238"/>
        <bgColor rgb="FF162238"/>
      </patternFill>
    </fill>
    <fill>
      <patternFill patternType="solid">
        <fgColor rgb="FF7FB069"/>
        <bgColor rgb="FF7FB069"/>
      </patternFill>
    </fill>
    <fill>
      <patternFill patternType="solid">
        <fgColor rgb="FFFBBF24"/>
        <bgColor rgb="FFFBBF24"/>
      </patternFill>
    </fill>
    <fill>
      <patternFill patternType="solid">
        <fgColor rgb="FFFB923C"/>
        <bgColor rgb="FFFB923C"/>
      </patternFill>
    </fill>
    <fill>
      <patternFill patternType="solid">
        <fgColor rgb="FFF87171"/>
        <bgColor rgb="FFF87171"/>
      </patternFill>
    </fill>
    <fill>
      <patternFill patternType="solid">
        <fgColor rgb="FF60A5FA"/>
        <bgColor rgb="FF60A5FA"/>
      </patternFill>
    </fill>
    <fill>
      <patternFill patternType="solid">
        <fgColor rgb="FFA78BFA"/>
        <bgColor rgb="FFA78BFA"/>
      </patternFill>
    </fill>
    <fill>
      <patternFill patternType="solid">
        <fgColor rgb="FF1E1A2A"/>
        <bgColor rgb="FF1E1A2A"/>
      </patternFill>
    </fill>
    <fill>
      <patternFill patternType="solid">
        <fgColor rgb="FF1A1A2A"/>
        <bgColor rgb="FF1A1A2A"/>
      </patternFill>
    </fill>
    <fill>
      <patternFill patternType="solid">
        <fgColor rgb="FF1A1500"/>
        <bgColor rgb="FF1A1500"/>
      </patternFill>
    </fill>
    <fill>
      <patternFill patternType="solid">
        <fgColor rgb="FF1E1500"/>
        <bgColor rgb="FF1E1500"/>
      </patternFill>
    </fill>
    <fill>
      <patternFill patternType="solid">
        <fgColor rgb="FF94A3B8"/>
        <bgColor rgb="FF94A3B8"/>
      </patternFill>
    </fill>
    <fill>
      <patternFill patternType="solid">
        <fgColor rgb="FF1A1E0A"/>
        <bgColor rgb="FF1A1E0A"/>
      </patternFill>
    </fill>
    <fill>
      <patternFill patternType="solid">
        <fgColor rgb="FF6366F1"/>
        <bgColor rgb="FF6366F1"/>
      </patternFill>
    </fill>
    <fill>
      <patternFill patternType="solid">
        <fgColor rgb="FF1E1E0A"/>
        <bgColor rgb="FF1E1E0A"/>
      </patternFill>
    </fill>
    <fill>
      <patternFill patternType="solid">
        <fgColor rgb="FFDE8033"/>
        <bgColor rgb="FFDE8033"/>
      </patternFill>
    </fill>
    <fill>
      <patternFill patternType="solid">
        <fgColor rgb="FFA5FA33"/>
        <bgColor rgb="FFA5FA33"/>
      </patternFill>
    </fill>
    <fill>
      <patternFill patternType="solid">
        <fgColor rgb="FFBF2433"/>
        <bgColor rgb="FFBF2433"/>
      </patternFill>
    </fill>
    <fill>
      <patternFill patternType="solid">
        <fgColor rgb="FF923C33"/>
        <bgColor rgb="FF923C33"/>
      </patternFill>
    </fill>
    <fill>
      <patternFill patternType="solid">
        <fgColor rgb="FF717133"/>
        <bgColor rgb="FF717133"/>
      </patternFill>
    </fill>
    <fill>
      <patternFill patternType="solid">
        <fgColor rgb="FF1A1A1A"/>
        <bgColor rgb="FF1A1A1A"/>
      </patternFill>
    </fill>
  </fills>
  <borders count="2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left" vertical="center"/>
    </xf>
    <xf numFmtId="0" fontId="33" fillId="6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32" fillId="21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left" vertical="center"/>
    </xf>
    <xf numFmtId="0" fontId="35" fillId="22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left" vertical="center"/>
    </xf>
    <xf numFmtId="0" fontId="36" fillId="23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left" vertical="center"/>
    </xf>
    <xf numFmtId="0" fontId="37" fillId="24" borderId="1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left" vertical="center"/>
    </xf>
    <xf numFmtId="0" fontId="38" fillId="2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39" fillId="2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DE80"/>
  </sheetPr>
  <dimension ref="A1:D30"/>
  <sheetViews>
    <sheetView showGridLines="0" workbookViewId="0">
      <selection sqref="A1:D1"/>
    </sheetView>
  </sheetViews>
  <sheetFormatPr defaultRowHeight="15" x14ac:dyDescent="0.25"/>
  <cols>
    <col min="1" max="1" width="38" customWidth="1"/>
    <col min="2" max="2" width="8" customWidth="1"/>
    <col min="3" max="3" width="14" customWidth="1"/>
    <col min="4" max="4" width="38" customWidth="1"/>
  </cols>
  <sheetData>
    <row r="1" spans="1:4" ht="20.100000000000001" customHeight="1" x14ac:dyDescent="0.25">
      <c r="A1" s="46" t="s">
        <v>0</v>
      </c>
      <c r="B1" s="47"/>
      <c r="C1" s="47"/>
      <c r="D1" s="47"/>
    </row>
    <row r="2" spans="1:4" ht="24" customHeight="1" x14ac:dyDescent="0.25">
      <c r="A2" s="48" t="s">
        <v>1</v>
      </c>
      <c r="B2" s="47"/>
      <c r="C2" s="47"/>
      <c r="D2" s="47"/>
    </row>
    <row r="3" spans="1:4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ht="14.1" customHeight="1" x14ac:dyDescent="0.25">
      <c r="A4" s="2" t="s">
        <v>6</v>
      </c>
      <c r="B4" s="3">
        <v>25</v>
      </c>
      <c r="C4" s="4" t="s">
        <v>7</v>
      </c>
      <c r="D4" s="5" t="s">
        <v>8</v>
      </c>
    </row>
    <row r="5" spans="1:4" ht="14.1" customHeight="1" x14ac:dyDescent="0.25">
      <c r="A5" s="2" t="s">
        <v>9</v>
      </c>
      <c r="B5" s="3">
        <v>24</v>
      </c>
      <c r="C5" s="4" t="s">
        <v>7</v>
      </c>
      <c r="D5" s="5"/>
    </row>
    <row r="6" spans="1:4" ht="14.1" customHeight="1" x14ac:dyDescent="0.25">
      <c r="A6" s="2" t="s">
        <v>10</v>
      </c>
      <c r="B6" s="3">
        <v>23</v>
      </c>
      <c r="C6" s="4" t="s">
        <v>7</v>
      </c>
      <c r="D6" s="5"/>
    </row>
    <row r="7" spans="1:4" ht="14.1" customHeight="1" x14ac:dyDescent="0.25">
      <c r="A7" s="2" t="s">
        <v>11</v>
      </c>
      <c r="B7" s="3">
        <v>22</v>
      </c>
      <c r="C7" s="4" t="s">
        <v>7</v>
      </c>
      <c r="D7" s="5"/>
    </row>
    <row r="8" spans="1:4" ht="14.1" customHeight="1" x14ac:dyDescent="0.25">
      <c r="A8" s="2" t="s">
        <v>12</v>
      </c>
      <c r="B8" s="3">
        <v>21</v>
      </c>
      <c r="C8" s="4" t="s">
        <v>7</v>
      </c>
      <c r="D8" s="5"/>
    </row>
    <row r="9" spans="1:4" ht="14.1" customHeight="1" x14ac:dyDescent="0.25">
      <c r="A9" s="2" t="s">
        <v>13</v>
      </c>
      <c r="B9" s="3">
        <v>20</v>
      </c>
      <c r="C9" s="4" t="s">
        <v>7</v>
      </c>
      <c r="D9" s="5" t="s">
        <v>14</v>
      </c>
    </row>
    <row r="10" spans="1:4" ht="14.1" customHeight="1" x14ac:dyDescent="0.25">
      <c r="A10" s="2" t="s">
        <v>15</v>
      </c>
      <c r="B10" s="6">
        <v>19</v>
      </c>
      <c r="C10" s="7" t="s">
        <v>16</v>
      </c>
      <c r="D10" s="5"/>
    </row>
    <row r="11" spans="1:4" ht="14.1" customHeight="1" x14ac:dyDescent="0.25">
      <c r="A11" s="2" t="s">
        <v>17</v>
      </c>
      <c r="B11" s="6">
        <v>18</v>
      </c>
      <c r="C11" s="7" t="s">
        <v>16</v>
      </c>
      <c r="D11" s="5"/>
    </row>
    <row r="12" spans="1:4" ht="14.1" customHeight="1" x14ac:dyDescent="0.25">
      <c r="A12" s="2" t="s">
        <v>18</v>
      </c>
      <c r="B12" s="6">
        <v>17</v>
      </c>
      <c r="C12" s="7" t="s">
        <v>16</v>
      </c>
      <c r="D12" s="5"/>
    </row>
    <row r="13" spans="1:4" ht="14.1" customHeight="1" x14ac:dyDescent="0.25">
      <c r="A13" s="2" t="s">
        <v>19</v>
      </c>
      <c r="B13" s="6">
        <v>16</v>
      </c>
      <c r="C13" s="7" t="s">
        <v>16</v>
      </c>
      <c r="D13" s="5"/>
    </row>
    <row r="14" spans="1:4" ht="14.1" customHeight="1" x14ac:dyDescent="0.25">
      <c r="A14" s="2" t="s">
        <v>20</v>
      </c>
      <c r="B14" s="8">
        <v>15</v>
      </c>
      <c r="C14" s="9" t="s">
        <v>21</v>
      </c>
      <c r="D14" s="5" t="s">
        <v>22</v>
      </c>
    </row>
    <row r="15" spans="1:4" ht="14.1" customHeight="1" x14ac:dyDescent="0.25">
      <c r="A15" s="2" t="s">
        <v>23</v>
      </c>
      <c r="B15" s="8">
        <v>14</v>
      </c>
      <c r="C15" s="9" t="s">
        <v>21</v>
      </c>
      <c r="D15" s="5"/>
    </row>
    <row r="16" spans="1:4" ht="14.1" customHeight="1" x14ac:dyDescent="0.25">
      <c r="A16" s="2" t="s">
        <v>24</v>
      </c>
      <c r="B16" s="8">
        <v>13</v>
      </c>
      <c r="C16" s="9" t="s">
        <v>21</v>
      </c>
      <c r="D16" s="5"/>
    </row>
    <row r="17" spans="1:4" ht="14.1" customHeight="1" x14ac:dyDescent="0.25">
      <c r="A17" s="2" t="s">
        <v>25</v>
      </c>
      <c r="B17" s="8">
        <v>12</v>
      </c>
      <c r="C17" s="9" t="s">
        <v>21</v>
      </c>
      <c r="D17" s="5"/>
    </row>
    <row r="18" spans="1:4" ht="14.1" customHeight="1" x14ac:dyDescent="0.25">
      <c r="A18" s="2" t="s">
        <v>26</v>
      </c>
      <c r="B18" s="8">
        <v>11</v>
      </c>
      <c r="C18" s="9" t="s">
        <v>21</v>
      </c>
      <c r="D18" s="5"/>
    </row>
    <row r="19" spans="1:4" ht="14.1" customHeight="1" x14ac:dyDescent="0.25">
      <c r="A19" s="2" t="s">
        <v>27</v>
      </c>
      <c r="B19" s="8">
        <v>10</v>
      </c>
      <c r="C19" s="9" t="s">
        <v>21</v>
      </c>
      <c r="D19" s="5" t="s">
        <v>28</v>
      </c>
    </row>
    <row r="20" spans="1:4" ht="14.1" customHeight="1" x14ac:dyDescent="0.25">
      <c r="A20" s="2" t="s">
        <v>29</v>
      </c>
      <c r="B20" s="10">
        <v>9</v>
      </c>
      <c r="C20" s="11" t="s">
        <v>30</v>
      </c>
      <c r="D20" s="5" t="s">
        <v>31</v>
      </c>
    </row>
    <row r="21" spans="1:4" ht="14.1" customHeight="1" x14ac:dyDescent="0.25">
      <c r="A21" s="2" t="s">
        <v>32</v>
      </c>
      <c r="B21" s="10">
        <v>8</v>
      </c>
      <c r="C21" s="11" t="s">
        <v>30</v>
      </c>
      <c r="D21" s="5"/>
    </row>
    <row r="22" spans="1:4" ht="14.1" customHeight="1" x14ac:dyDescent="0.25">
      <c r="A22" s="2" t="s">
        <v>33</v>
      </c>
      <c r="B22" s="10">
        <v>7</v>
      </c>
      <c r="C22" s="11" t="s">
        <v>30</v>
      </c>
      <c r="D22" s="5"/>
    </row>
    <row r="23" spans="1:4" ht="14.1" customHeight="1" x14ac:dyDescent="0.25">
      <c r="A23" s="2" t="s">
        <v>34</v>
      </c>
      <c r="B23" s="10">
        <v>6</v>
      </c>
      <c r="C23" s="11" t="s">
        <v>30</v>
      </c>
      <c r="D23" s="5"/>
    </row>
    <row r="24" spans="1:4" ht="14.1" customHeight="1" x14ac:dyDescent="0.25">
      <c r="A24" s="2" t="s">
        <v>35</v>
      </c>
      <c r="B24" s="10">
        <v>5</v>
      </c>
      <c r="C24" s="11" t="s">
        <v>30</v>
      </c>
      <c r="D24" s="5"/>
    </row>
    <row r="25" spans="1:4" ht="14.1" customHeight="1" x14ac:dyDescent="0.25">
      <c r="A25" s="2" t="s">
        <v>36</v>
      </c>
      <c r="B25" s="12">
        <v>4</v>
      </c>
      <c r="C25" s="13" t="s">
        <v>37</v>
      </c>
      <c r="D25" s="5" t="s">
        <v>38</v>
      </c>
    </row>
    <row r="26" spans="1:4" ht="14.1" customHeight="1" x14ac:dyDescent="0.25">
      <c r="A26" s="2" t="s">
        <v>39</v>
      </c>
      <c r="B26" s="12">
        <v>3</v>
      </c>
      <c r="C26" s="13" t="s">
        <v>37</v>
      </c>
      <c r="D26" s="5"/>
    </row>
    <row r="27" spans="1:4" ht="14.1" customHeight="1" x14ac:dyDescent="0.25">
      <c r="A27" s="2" t="s">
        <v>40</v>
      </c>
      <c r="B27" s="12">
        <v>2</v>
      </c>
      <c r="C27" s="13" t="s">
        <v>37</v>
      </c>
      <c r="D27" s="5"/>
    </row>
    <row r="28" spans="1:4" ht="14.1" customHeight="1" x14ac:dyDescent="0.25">
      <c r="A28" s="2" t="s">
        <v>41</v>
      </c>
      <c r="B28" s="12">
        <v>1</v>
      </c>
      <c r="C28" s="13" t="s">
        <v>37</v>
      </c>
      <c r="D28" s="5"/>
    </row>
    <row r="29" spans="1:4" ht="14.1" customHeight="1" x14ac:dyDescent="0.25">
      <c r="A29" s="2" t="s">
        <v>42</v>
      </c>
      <c r="B29" s="12">
        <v>0</v>
      </c>
      <c r="C29" s="13" t="s">
        <v>37</v>
      </c>
      <c r="D29" s="5" t="s">
        <v>43</v>
      </c>
    </row>
    <row r="30" spans="1:4" ht="14.1" customHeight="1" x14ac:dyDescent="0.25">
      <c r="A30" s="2" t="s">
        <v>44</v>
      </c>
      <c r="B30" s="14">
        <v>12</v>
      </c>
      <c r="C30" s="15" t="s">
        <v>45</v>
      </c>
      <c r="D30" s="5" t="s">
        <v>46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8BFA"/>
  </sheetPr>
  <dimension ref="A1:D37"/>
  <sheetViews>
    <sheetView showGridLines="0" workbookViewId="0">
      <selection sqref="A1:D1"/>
    </sheetView>
  </sheetViews>
  <sheetFormatPr defaultRowHeight="15" x14ac:dyDescent="0.25"/>
  <cols>
    <col min="1" max="1" width="40" customWidth="1"/>
    <col min="2" max="2" width="8" customWidth="1"/>
    <col min="3" max="3" width="14" customWidth="1"/>
    <col min="4" max="4" width="38" customWidth="1"/>
  </cols>
  <sheetData>
    <row r="1" spans="1:4" ht="20.100000000000001" customHeight="1" x14ac:dyDescent="0.25">
      <c r="A1" s="50" t="s">
        <v>47</v>
      </c>
      <c r="B1" s="47"/>
      <c r="C1" s="47"/>
      <c r="D1" s="47"/>
    </row>
    <row r="2" spans="1:4" ht="24" customHeight="1" x14ac:dyDescent="0.25">
      <c r="A2" s="48" t="s">
        <v>48</v>
      </c>
      <c r="B2" s="47"/>
      <c r="C2" s="47"/>
      <c r="D2" s="47"/>
    </row>
    <row r="4" spans="1:4" ht="20.100000000000001" customHeight="1" x14ac:dyDescent="0.25">
      <c r="A4" s="51" t="s">
        <v>49</v>
      </c>
      <c r="B4" s="47"/>
      <c r="C4" s="47"/>
      <c r="D4" s="47"/>
    </row>
    <row r="5" spans="1:4" ht="30" customHeight="1" x14ac:dyDescent="0.25">
      <c r="A5" s="1" t="s">
        <v>50</v>
      </c>
      <c r="B5" s="1" t="s">
        <v>51</v>
      </c>
      <c r="C5" s="1" t="s">
        <v>4</v>
      </c>
      <c r="D5" s="1" t="s">
        <v>5</v>
      </c>
    </row>
    <row r="6" spans="1:4" ht="14.1" customHeight="1" x14ac:dyDescent="0.25">
      <c r="A6" s="2" t="s">
        <v>52</v>
      </c>
      <c r="B6" s="3">
        <v>13</v>
      </c>
      <c r="C6" s="4" t="s">
        <v>7</v>
      </c>
      <c r="D6" s="5" t="s">
        <v>53</v>
      </c>
    </row>
    <row r="7" spans="1:4" ht="14.1" customHeight="1" x14ac:dyDescent="0.25">
      <c r="A7" s="2" t="s">
        <v>54</v>
      </c>
      <c r="B7" s="3">
        <v>13</v>
      </c>
      <c r="C7" s="4" t="s">
        <v>7</v>
      </c>
      <c r="D7" s="5" t="s">
        <v>55</v>
      </c>
    </row>
    <row r="8" spans="1:4" ht="14.1" customHeight="1" x14ac:dyDescent="0.25">
      <c r="A8" s="2" t="s">
        <v>56</v>
      </c>
      <c r="B8" s="3">
        <v>12</v>
      </c>
      <c r="C8" s="4" t="s">
        <v>7</v>
      </c>
      <c r="D8" s="5"/>
    </row>
    <row r="9" spans="1:4" ht="14.1" customHeight="1" x14ac:dyDescent="0.25">
      <c r="A9" s="2" t="s">
        <v>57</v>
      </c>
      <c r="B9" s="3">
        <v>11</v>
      </c>
      <c r="C9" s="4" t="s">
        <v>7</v>
      </c>
      <c r="D9" s="5"/>
    </row>
    <row r="10" spans="1:4" ht="14.1" customHeight="1" x14ac:dyDescent="0.25">
      <c r="A10" s="2" t="s">
        <v>58</v>
      </c>
      <c r="B10" s="6">
        <v>10</v>
      </c>
      <c r="C10" s="7" t="s">
        <v>16</v>
      </c>
      <c r="D10" s="5"/>
    </row>
    <row r="11" spans="1:4" ht="14.1" customHeight="1" x14ac:dyDescent="0.25">
      <c r="A11" s="2" t="s">
        <v>59</v>
      </c>
      <c r="B11" s="6">
        <v>9</v>
      </c>
      <c r="C11" s="7" t="s">
        <v>16</v>
      </c>
      <c r="D11" s="5" t="s">
        <v>60</v>
      </c>
    </row>
    <row r="12" spans="1:4" ht="14.1" customHeight="1" x14ac:dyDescent="0.25">
      <c r="A12" s="2" t="s">
        <v>61</v>
      </c>
      <c r="B12" s="6">
        <v>8</v>
      </c>
      <c r="C12" s="7" t="s">
        <v>16</v>
      </c>
      <c r="D12" s="5"/>
    </row>
    <row r="13" spans="1:4" ht="14.1" customHeight="1" x14ac:dyDescent="0.25">
      <c r="A13" s="2" t="s">
        <v>62</v>
      </c>
      <c r="B13" s="8">
        <v>7</v>
      </c>
      <c r="C13" s="9" t="s">
        <v>21</v>
      </c>
      <c r="D13" s="5"/>
    </row>
    <row r="14" spans="1:4" ht="14.1" customHeight="1" x14ac:dyDescent="0.25">
      <c r="A14" s="2" t="s">
        <v>63</v>
      </c>
      <c r="B14" s="8">
        <v>6</v>
      </c>
      <c r="C14" s="9" t="s">
        <v>21</v>
      </c>
      <c r="D14" s="5"/>
    </row>
    <row r="15" spans="1:4" ht="14.1" customHeight="1" x14ac:dyDescent="0.25">
      <c r="A15" s="2" t="s">
        <v>64</v>
      </c>
      <c r="B15" s="8">
        <v>5</v>
      </c>
      <c r="C15" s="9" t="s">
        <v>21</v>
      </c>
      <c r="D15" s="5" t="s">
        <v>65</v>
      </c>
    </row>
    <row r="16" spans="1:4" ht="14.1" customHeight="1" x14ac:dyDescent="0.25">
      <c r="A16" s="2" t="s">
        <v>66</v>
      </c>
      <c r="B16" s="10">
        <v>4</v>
      </c>
      <c r="C16" s="11" t="s">
        <v>30</v>
      </c>
      <c r="D16" s="5" t="s">
        <v>67</v>
      </c>
    </row>
    <row r="17" spans="1:4" ht="14.1" customHeight="1" x14ac:dyDescent="0.25">
      <c r="A17" s="2" t="s">
        <v>68</v>
      </c>
      <c r="B17" s="10">
        <v>3</v>
      </c>
      <c r="C17" s="11" t="s">
        <v>30</v>
      </c>
      <c r="D17" s="5"/>
    </row>
    <row r="18" spans="1:4" ht="14.1" customHeight="1" x14ac:dyDescent="0.25">
      <c r="A18" s="2" t="s">
        <v>69</v>
      </c>
      <c r="B18" s="10">
        <v>2</v>
      </c>
      <c r="C18" s="11" t="s">
        <v>30</v>
      </c>
      <c r="D18" s="5"/>
    </row>
    <row r="19" spans="1:4" ht="14.1" customHeight="1" x14ac:dyDescent="0.25">
      <c r="A19" s="2" t="s">
        <v>70</v>
      </c>
      <c r="B19" s="12">
        <v>1</v>
      </c>
      <c r="C19" s="13" t="s">
        <v>37</v>
      </c>
      <c r="D19" s="5" t="s">
        <v>71</v>
      </c>
    </row>
    <row r="20" spans="1:4" ht="14.1" customHeight="1" x14ac:dyDescent="0.25">
      <c r="A20" s="2" t="s">
        <v>72</v>
      </c>
      <c r="B20" s="12">
        <v>0</v>
      </c>
      <c r="C20" s="13" t="s">
        <v>37</v>
      </c>
      <c r="D20" s="5" t="s">
        <v>73</v>
      </c>
    </row>
    <row r="22" spans="1:4" ht="20.100000000000001" customHeight="1" x14ac:dyDescent="0.25">
      <c r="A22" s="49" t="s">
        <v>74</v>
      </c>
      <c r="B22" s="47"/>
      <c r="C22" s="47"/>
      <c r="D22" s="47"/>
    </row>
    <row r="23" spans="1:4" ht="30" customHeight="1" x14ac:dyDescent="0.25">
      <c r="A23" s="1" t="s">
        <v>75</v>
      </c>
      <c r="B23" s="1" t="s">
        <v>76</v>
      </c>
      <c r="C23" s="1" t="s">
        <v>4</v>
      </c>
      <c r="D23" s="1" t="s">
        <v>5</v>
      </c>
    </row>
    <row r="24" spans="1:4" ht="14.1" customHeight="1" x14ac:dyDescent="0.25">
      <c r="A24" s="2" t="s">
        <v>52</v>
      </c>
      <c r="B24" s="3">
        <v>12</v>
      </c>
      <c r="C24" s="4" t="s">
        <v>7</v>
      </c>
      <c r="D24" s="5" t="s">
        <v>53</v>
      </c>
    </row>
    <row r="25" spans="1:4" ht="14.1" customHeight="1" x14ac:dyDescent="0.25">
      <c r="A25" s="2" t="s">
        <v>77</v>
      </c>
      <c r="B25" s="3">
        <v>12</v>
      </c>
      <c r="C25" s="4" t="s">
        <v>7</v>
      </c>
      <c r="D25" s="5" t="s">
        <v>78</v>
      </c>
    </row>
    <row r="26" spans="1:4" ht="14.1" customHeight="1" x14ac:dyDescent="0.25">
      <c r="A26" s="2" t="s">
        <v>79</v>
      </c>
      <c r="B26" s="3">
        <v>11</v>
      </c>
      <c r="C26" s="4" t="s">
        <v>7</v>
      </c>
      <c r="D26" s="5"/>
    </row>
    <row r="27" spans="1:4" ht="14.1" customHeight="1" x14ac:dyDescent="0.25">
      <c r="A27" s="2" t="s">
        <v>80</v>
      </c>
      <c r="B27" s="6">
        <v>10</v>
      </c>
      <c r="C27" s="7" t="s">
        <v>16</v>
      </c>
      <c r="D27" s="5"/>
    </row>
    <row r="28" spans="1:4" ht="14.1" customHeight="1" x14ac:dyDescent="0.25">
      <c r="A28" s="2" t="s">
        <v>81</v>
      </c>
      <c r="B28" s="6">
        <v>9</v>
      </c>
      <c r="C28" s="7" t="s">
        <v>16</v>
      </c>
      <c r="D28" s="5" t="s">
        <v>82</v>
      </c>
    </row>
    <row r="29" spans="1:4" ht="14.1" customHeight="1" x14ac:dyDescent="0.25">
      <c r="A29" s="2" t="s">
        <v>83</v>
      </c>
      <c r="B29" s="6">
        <v>8</v>
      </c>
      <c r="C29" s="7" t="s">
        <v>16</v>
      </c>
      <c r="D29" s="5"/>
    </row>
    <row r="30" spans="1:4" ht="14.1" customHeight="1" x14ac:dyDescent="0.25">
      <c r="A30" s="2" t="s">
        <v>84</v>
      </c>
      <c r="B30" s="8">
        <v>7</v>
      </c>
      <c r="C30" s="9" t="s">
        <v>21</v>
      </c>
      <c r="D30" s="5" t="s">
        <v>85</v>
      </c>
    </row>
    <row r="31" spans="1:4" ht="14.1" customHeight="1" x14ac:dyDescent="0.25">
      <c r="A31" s="2" t="s">
        <v>86</v>
      </c>
      <c r="B31" s="8">
        <v>6</v>
      </c>
      <c r="C31" s="9" t="s">
        <v>21</v>
      </c>
      <c r="D31" s="5"/>
    </row>
    <row r="32" spans="1:4" ht="14.1" customHeight="1" x14ac:dyDescent="0.25">
      <c r="A32" s="2" t="s">
        <v>87</v>
      </c>
      <c r="B32" s="8">
        <v>5</v>
      </c>
      <c r="C32" s="9" t="s">
        <v>21</v>
      </c>
      <c r="D32" s="5" t="s">
        <v>88</v>
      </c>
    </row>
    <row r="33" spans="1:4" ht="14.1" customHeight="1" x14ac:dyDescent="0.25">
      <c r="A33" s="2" t="s">
        <v>89</v>
      </c>
      <c r="B33" s="10">
        <v>4</v>
      </c>
      <c r="C33" s="11" t="s">
        <v>30</v>
      </c>
      <c r="D33" s="5" t="s">
        <v>90</v>
      </c>
    </row>
    <row r="34" spans="1:4" ht="14.1" customHeight="1" x14ac:dyDescent="0.25">
      <c r="A34" s="2" t="s">
        <v>91</v>
      </c>
      <c r="B34" s="10">
        <v>3</v>
      </c>
      <c r="C34" s="11" t="s">
        <v>30</v>
      </c>
      <c r="D34" s="5"/>
    </row>
    <row r="35" spans="1:4" ht="14.1" customHeight="1" x14ac:dyDescent="0.25">
      <c r="A35" s="2" t="s">
        <v>92</v>
      </c>
      <c r="B35" s="12">
        <v>2</v>
      </c>
      <c r="C35" s="13" t="s">
        <v>37</v>
      </c>
      <c r="D35" s="5" t="s">
        <v>71</v>
      </c>
    </row>
    <row r="36" spans="1:4" ht="14.1" customHeight="1" x14ac:dyDescent="0.25">
      <c r="A36" s="2" t="s">
        <v>93</v>
      </c>
      <c r="B36" s="12">
        <v>1</v>
      </c>
      <c r="C36" s="13" t="s">
        <v>37</v>
      </c>
      <c r="D36" s="5"/>
    </row>
    <row r="37" spans="1:4" ht="14.1" customHeight="1" x14ac:dyDescent="0.25">
      <c r="A37" s="2" t="s">
        <v>94</v>
      </c>
      <c r="B37" s="12">
        <v>0</v>
      </c>
      <c r="C37" s="13" t="s">
        <v>37</v>
      </c>
      <c r="D37" s="5" t="s">
        <v>95</v>
      </c>
    </row>
  </sheetData>
  <mergeCells count="4">
    <mergeCell ref="A22:D22"/>
    <mergeCell ref="A1:D1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0A5FA"/>
  </sheetPr>
  <dimension ref="A1:D20"/>
  <sheetViews>
    <sheetView showGridLines="0" workbookViewId="0">
      <selection sqref="A1:D1"/>
    </sheetView>
  </sheetViews>
  <sheetFormatPr defaultRowHeight="15" x14ac:dyDescent="0.25"/>
  <cols>
    <col min="1" max="1" width="38" customWidth="1"/>
    <col min="2" max="2" width="8" customWidth="1"/>
    <col min="3" max="3" width="14" customWidth="1"/>
    <col min="4" max="4" width="38" customWidth="1"/>
  </cols>
  <sheetData>
    <row r="1" spans="1:4" ht="20.100000000000001" customHeight="1" x14ac:dyDescent="0.25">
      <c r="A1" s="52" t="s">
        <v>96</v>
      </c>
      <c r="B1" s="47"/>
      <c r="C1" s="47"/>
      <c r="D1" s="47"/>
    </row>
    <row r="2" spans="1:4" ht="24" customHeight="1" x14ac:dyDescent="0.25">
      <c r="A2" s="53" t="s">
        <v>97</v>
      </c>
      <c r="B2" s="47"/>
      <c r="C2" s="47"/>
      <c r="D2" s="47"/>
    </row>
    <row r="3" spans="1:4" ht="30" customHeight="1" x14ac:dyDescent="0.25">
      <c r="A3" s="1" t="s">
        <v>98</v>
      </c>
      <c r="B3" s="1" t="s">
        <v>3</v>
      </c>
      <c r="C3" s="1" t="s">
        <v>4</v>
      </c>
      <c r="D3" s="1" t="s">
        <v>5</v>
      </c>
    </row>
    <row r="4" spans="1:4" ht="14.1" customHeight="1" x14ac:dyDescent="0.25">
      <c r="A4" s="2" t="s">
        <v>99</v>
      </c>
      <c r="B4" s="3">
        <v>25</v>
      </c>
      <c r="C4" s="4" t="s">
        <v>7</v>
      </c>
      <c r="D4" s="5" t="s">
        <v>100</v>
      </c>
    </row>
    <row r="5" spans="1:4" ht="14.1" customHeight="1" x14ac:dyDescent="0.25">
      <c r="A5" s="2" t="s">
        <v>101</v>
      </c>
      <c r="B5" s="3">
        <v>24</v>
      </c>
      <c r="C5" s="4" t="s">
        <v>7</v>
      </c>
      <c r="D5" s="5"/>
    </row>
    <row r="6" spans="1:4" ht="14.1" customHeight="1" x14ac:dyDescent="0.25">
      <c r="A6" s="2" t="s">
        <v>102</v>
      </c>
      <c r="B6" s="3">
        <v>23</v>
      </c>
      <c r="C6" s="4" t="s">
        <v>7</v>
      </c>
      <c r="D6" s="5"/>
    </row>
    <row r="7" spans="1:4" ht="14.1" customHeight="1" x14ac:dyDescent="0.25">
      <c r="A7" s="2" t="s">
        <v>103</v>
      </c>
      <c r="B7" s="3">
        <v>22</v>
      </c>
      <c r="C7" s="4" t="s">
        <v>7</v>
      </c>
      <c r="D7" s="5"/>
    </row>
    <row r="8" spans="1:4" ht="14.1" customHeight="1" x14ac:dyDescent="0.25">
      <c r="A8" s="2" t="s">
        <v>104</v>
      </c>
      <c r="B8" s="3">
        <v>21</v>
      </c>
      <c r="C8" s="4" t="s">
        <v>7</v>
      </c>
      <c r="D8" s="5" t="s">
        <v>105</v>
      </c>
    </row>
    <row r="9" spans="1:4" ht="14.1" customHeight="1" x14ac:dyDescent="0.25">
      <c r="A9" s="2" t="s">
        <v>106</v>
      </c>
      <c r="B9" s="6">
        <v>19</v>
      </c>
      <c r="C9" s="7" t="s">
        <v>16</v>
      </c>
      <c r="D9" s="5"/>
    </row>
    <row r="10" spans="1:4" ht="14.1" customHeight="1" x14ac:dyDescent="0.25">
      <c r="A10" s="2" t="s">
        <v>107</v>
      </c>
      <c r="B10" s="6">
        <v>17</v>
      </c>
      <c r="C10" s="7" t="s">
        <v>16</v>
      </c>
      <c r="D10" s="5" t="s">
        <v>108</v>
      </c>
    </row>
    <row r="11" spans="1:4" ht="14.1" customHeight="1" x14ac:dyDescent="0.25">
      <c r="A11" s="2" t="s">
        <v>109</v>
      </c>
      <c r="B11" s="8">
        <v>15</v>
      </c>
      <c r="C11" s="9" t="s">
        <v>21</v>
      </c>
      <c r="D11" s="5"/>
    </row>
    <row r="12" spans="1:4" ht="14.1" customHeight="1" x14ac:dyDescent="0.25">
      <c r="A12" s="2" t="s">
        <v>110</v>
      </c>
      <c r="B12" s="8">
        <v>13</v>
      </c>
      <c r="C12" s="9" t="s">
        <v>21</v>
      </c>
      <c r="D12" s="5"/>
    </row>
    <row r="13" spans="1:4" ht="14.1" customHeight="1" x14ac:dyDescent="0.25">
      <c r="A13" s="2" t="s">
        <v>111</v>
      </c>
      <c r="B13" s="8">
        <v>10</v>
      </c>
      <c r="C13" s="9" t="s">
        <v>21</v>
      </c>
      <c r="D13" s="5" t="s">
        <v>112</v>
      </c>
    </row>
    <row r="14" spans="1:4" ht="14.1" customHeight="1" x14ac:dyDescent="0.25">
      <c r="A14" s="2" t="s">
        <v>113</v>
      </c>
      <c r="B14" s="10">
        <v>8</v>
      </c>
      <c r="C14" s="11" t="s">
        <v>30</v>
      </c>
      <c r="D14" s="5"/>
    </row>
    <row r="15" spans="1:4" ht="14.1" customHeight="1" x14ac:dyDescent="0.25">
      <c r="A15" s="2" t="s">
        <v>114</v>
      </c>
      <c r="B15" s="10">
        <v>6</v>
      </c>
      <c r="C15" s="11" t="s">
        <v>30</v>
      </c>
      <c r="D15" s="5" t="s">
        <v>115</v>
      </c>
    </row>
    <row r="16" spans="1:4" ht="14.1" customHeight="1" x14ac:dyDescent="0.25">
      <c r="A16" s="2" t="s">
        <v>116</v>
      </c>
      <c r="B16" s="10">
        <v>4</v>
      </c>
      <c r="C16" s="11" t="s">
        <v>30</v>
      </c>
      <c r="D16" s="5"/>
    </row>
    <row r="17" spans="1:4" ht="14.1" customHeight="1" x14ac:dyDescent="0.25">
      <c r="A17" s="2" t="s">
        <v>117</v>
      </c>
      <c r="B17" s="12">
        <v>2</v>
      </c>
      <c r="C17" s="13" t="s">
        <v>37</v>
      </c>
      <c r="D17" s="5" t="s">
        <v>118</v>
      </c>
    </row>
    <row r="18" spans="1:4" ht="14.1" customHeight="1" x14ac:dyDescent="0.25">
      <c r="A18" s="2" t="s">
        <v>119</v>
      </c>
      <c r="B18" s="12">
        <v>1</v>
      </c>
      <c r="C18" s="13" t="s">
        <v>37</v>
      </c>
      <c r="D18" s="5"/>
    </row>
    <row r="19" spans="1:4" ht="14.1" customHeight="1" x14ac:dyDescent="0.25">
      <c r="A19" s="2" t="s">
        <v>120</v>
      </c>
      <c r="B19" s="12">
        <v>0</v>
      </c>
      <c r="C19" s="13" t="s">
        <v>37</v>
      </c>
      <c r="D19" s="5" t="s">
        <v>121</v>
      </c>
    </row>
    <row r="20" spans="1:4" ht="14.1" customHeight="1" x14ac:dyDescent="0.25">
      <c r="A20" s="2" t="s">
        <v>122</v>
      </c>
      <c r="B20" s="14">
        <v>12</v>
      </c>
      <c r="C20" s="15" t="s">
        <v>45</v>
      </c>
      <c r="D20" s="5" t="s">
        <v>46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BF24"/>
  </sheetPr>
  <dimension ref="A1:D21"/>
  <sheetViews>
    <sheetView showGridLines="0" workbookViewId="0">
      <selection sqref="A1:D1"/>
    </sheetView>
  </sheetViews>
  <sheetFormatPr defaultRowHeight="15" x14ac:dyDescent="0.25"/>
  <cols>
    <col min="1" max="1" width="38" customWidth="1"/>
    <col min="2" max="2" width="8" customWidth="1"/>
    <col min="3" max="3" width="14" customWidth="1"/>
    <col min="4" max="4" width="38" customWidth="1"/>
  </cols>
  <sheetData>
    <row r="1" spans="1:4" ht="20.100000000000001" customHeight="1" x14ac:dyDescent="0.25">
      <c r="A1" s="54" t="s">
        <v>123</v>
      </c>
      <c r="B1" s="47"/>
      <c r="C1" s="47"/>
      <c r="D1" s="47"/>
    </row>
    <row r="2" spans="1:4" ht="24" customHeight="1" x14ac:dyDescent="0.25">
      <c r="A2" s="55" t="s">
        <v>124</v>
      </c>
      <c r="B2" s="47"/>
      <c r="C2" s="47"/>
      <c r="D2" s="47"/>
    </row>
    <row r="3" spans="1:4" ht="30" customHeight="1" x14ac:dyDescent="0.25">
      <c r="A3" s="1" t="s">
        <v>125</v>
      </c>
      <c r="B3" s="1" t="s">
        <v>3</v>
      </c>
      <c r="C3" s="1" t="s">
        <v>4</v>
      </c>
      <c r="D3" s="1" t="s">
        <v>5</v>
      </c>
    </row>
    <row r="4" spans="1:4" ht="14.1" customHeight="1" x14ac:dyDescent="0.25">
      <c r="A4" s="2" t="s">
        <v>126</v>
      </c>
      <c r="B4" s="3">
        <v>25</v>
      </c>
      <c r="C4" s="4" t="s">
        <v>7</v>
      </c>
      <c r="D4" s="5" t="s">
        <v>127</v>
      </c>
    </row>
    <row r="5" spans="1:4" ht="14.1" customHeight="1" x14ac:dyDescent="0.25">
      <c r="A5" s="2" t="s">
        <v>128</v>
      </c>
      <c r="B5" s="3">
        <v>24</v>
      </c>
      <c r="C5" s="4" t="s">
        <v>7</v>
      </c>
      <c r="D5" s="5"/>
    </row>
    <row r="6" spans="1:4" ht="14.1" customHeight="1" x14ac:dyDescent="0.25">
      <c r="A6" s="2" t="s">
        <v>129</v>
      </c>
      <c r="B6" s="3">
        <v>23</v>
      </c>
      <c r="C6" s="4" t="s">
        <v>7</v>
      </c>
      <c r="D6" s="5"/>
    </row>
    <row r="7" spans="1:4" ht="14.1" customHeight="1" x14ac:dyDescent="0.25">
      <c r="A7" s="2" t="s">
        <v>130</v>
      </c>
      <c r="B7" s="3">
        <v>22</v>
      </c>
      <c r="C7" s="4" t="s">
        <v>7</v>
      </c>
      <c r="D7" s="5"/>
    </row>
    <row r="8" spans="1:4" ht="14.1" customHeight="1" x14ac:dyDescent="0.25">
      <c r="A8" s="2" t="s">
        <v>131</v>
      </c>
      <c r="B8" s="3">
        <v>21</v>
      </c>
      <c r="C8" s="4" t="s">
        <v>7</v>
      </c>
      <c r="D8" s="5"/>
    </row>
    <row r="9" spans="1:4" ht="14.1" customHeight="1" x14ac:dyDescent="0.25">
      <c r="A9" s="2" t="s">
        <v>132</v>
      </c>
      <c r="B9" s="3">
        <v>20</v>
      </c>
      <c r="C9" s="4" t="s">
        <v>7</v>
      </c>
      <c r="D9" s="5" t="s">
        <v>133</v>
      </c>
    </row>
    <row r="10" spans="1:4" ht="14.1" customHeight="1" x14ac:dyDescent="0.25">
      <c r="A10" s="2" t="s">
        <v>134</v>
      </c>
      <c r="B10" s="6">
        <v>18</v>
      </c>
      <c r="C10" s="7" t="s">
        <v>16</v>
      </c>
      <c r="D10" s="5"/>
    </row>
    <row r="11" spans="1:4" ht="14.1" customHeight="1" x14ac:dyDescent="0.25">
      <c r="A11" s="2" t="s">
        <v>135</v>
      </c>
      <c r="B11" s="6">
        <v>16</v>
      </c>
      <c r="C11" s="7" t="s">
        <v>16</v>
      </c>
      <c r="D11" s="5"/>
    </row>
    <row r="12" spans="1:4" ht="14.1" customHeight="1" x14ac:dyDescent="0.25">
      <c r="A12" s="2" t="s">
        <v>136</v>
      </c>
      <c r="B12" s="6">
        <v>14</v>
      </c>
      <c r="C12" s="7" t="s">
        <v>16</v>
      </c>
      <c r="D12" s="5" t="s">
        <v>137</v>
      </c>
    </row>
    <row r="13" spans="1:4" ht="14.1" customHeight="1" x14ac:dyDescent="0.25">
      <c r="A13" s="2" t="s">
        <v>138</v>
      </c>
      <c r="B13" s="8">
        <v>12</v>
      </c>
      <c r="C13" s="9" t="s">
        <v>21</v>
      </c>
      <c r="D13" s="5" t="s">
        <v>139</v>
      </c>
    </row>
    <row r="14" spans="1:4" ht="14.1" customHeight="1" x14ac:dyDescent="0.25">
      <c r="A14" s="2" t="s">
        <v>140</v>
      </c>
      <c r="B14" s="8">
        <v>10</v>
      </c>
      <c r="C14" s="9" t="s">
        <v>21</v>
      </c>
      <c r="D14" s="5"/>
    </row>
    <row r="15" spans="1:4" ht="14.1" customHeight="1" x14ac:dyDescent="0.25">
      <c r="A15" s="2" t="s">
        <v>141</v>
      </c>
      <c r="B15" s="8">
        <v>8</v>
      </c>
      <c r="C15" s="9" t="s">
        <v>21</v>
      </c>
      <c r="D15" s="5"/>
    </row>
    <row r="16" spans="1:4" ht="14.1" customHeight="1" x14ac:dyDescent="0.25">
      <c r="A16" s="2" t="s">
        <v>142</v>
      </c>
      <c r="B16" s="10">
        <v>6</v>
      </c>
      <c r="C16" s="11" t="s">
        <v>30</v>
      </c>
      <c r="D16" s="5"/>
    </row>
    <row r="17" spans="1:4" ht="14.1" customHeight="1" x14ac:dyDescent="0.25">
      <c r="A17" s="2" t="s">
        <v>143</v>
      </c>
      <c r="B17" s="10">
        <v>4</v>
      </c>
      <c r="C17" s="11" t="s">
        <v>30</v>
      </c>
      <c r="D17" s="5"/>
    </row>
    <row r="18" spans="1:4" ht="14.1" customHeight="1" x14ac:dyDescent="0.25">
      <c r="A18" s="2" t="s">
        <v>144</v>
      </c>
      <c r="B18" s="10">
        <v>2</v>
      </c>
      <c r="C18" s="11" t="s">
        <v>30</v>
      </c>
      <c r="D18" s="5" t="s">
        <v>145</v>
      </c>
    </row>
    <row r="19" spans="1:4" ht="14.1" customHeight="1" x14ac:dyDescent="0.25">
      <c r="A19" s="2" t="s">
        <v>146</v>
      </c>
      <c r="B19" s="12">
        <v>1</v>
      </c>
      <c r="C19" s="13" t="s">
        <v>37</v>
      </c>
      <c r="D19" s="5"/>
    </row>
    <row r="20" spans="1:4" ht="14.1" customHeight="1" x14ac:dyDescent="0.25">
      <c r="A20" s="2" t="s">
        <v>147</v>
      </c>
      <c r="B20" s="12">
        <v>0</v>
      </c>
      <c r="C20" s="13" t="s">
        <v>37</v>
      </c>
      <c r="D20" s="5" t="s">
        <v>148</v>
      </c>
    </row>
    <row r="21" spans="1:4" ht="14.1" customHeight="1" x14ac:dyDescent="0.25">
      <c r="A21" s="2" t="s">
        <v>149</v>
      </c>
      <c r="B21" s="14">
        <v>12</v>
      </c>
      <c r="C21" s="15" t="s">
        <v>45</v>
      </c>
      <c r="D21" s="5" t="s">
        <v>150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923C"/>
  </sheetPr>
  <dimension ref="A1:E53"/>
  <sheetViews>
    <sheetView showGridLines="0" tabSelected="1" topLeftCell="A16" workbookViewId="0">
      <selection sqref="A1:E1"/>
    </sheetView>
  </sheetViews>
  <sheetFormatPr defaultRowHeight="15" x14ac:dyDescent="0.25"/>
  <cols>
    <col min="1" max="1" width="32" customWidth="1"/>
    <col min="2" max="4" width="14" customWidth="1"/>
    <col min="5" max="5" width="32" customWidth="1"/>
  </cols>
  <sheetData>
    <row r="1" spans="1:5" ht="20.100000000000001" customHeight="1" x14ac:dyDescent="0.25">
      <c r="A1" s="57" t="s">
        <v>151</v>
      </c>
      <c r="B1" s="47"/>
      <c r="C1" s="47"/>
      <c r="D1" s="47"/>
      <c r="E1" s="47"/>
    </row>
    <row r="2" spans="1:5" ht="24" customHeight="1" x14ac:dyDescent="0.25">
      <c r="A2" s="56" t="s">
        <v>152</v>
      </c>
      <c r="B2" s="47"/>
      <c r="C2" s="47"/>
      <c r="D2" s="47"/>
      <c r="E2" s="47"/>
    </row>
    <row r="4" spans="1:5" ht="20.100000000000001" customHeight="1" x14ac:dyDescent="0.25">
      <c r="A4" s="58" t="s">
        <v>153</v>
      </c>
      <c r="B4" s="47"/>
      <c r="C4" s="47"/>
      <c r="D4" s="47"/>
      <c r="E4" s="47"/>
    </row>
    <row r="5" spans="1:5" ht="24" customHeight="1" x14ac:dyDescent="0.25">
      <c r="A5" s="1" t="s">
        <v>154</v>
      </c>
      <c r="B5" s="1" t="s">
        <v>155</v>
      </c>
      <c r="C5" s="1" t="s">
        <v>156</v>
      </c>
      <c r="D5" s="1" t="s">
        <v>4</v>
      </c>
      <c r="E5" s="1" t="s">
        <v>5</v>
      </c>
    </row>
    <row r="6" spans="1:5" ht="12.95" customHeight="1" x14ac:dyDescent="0.25">
      <c r="A6" s="16" t="s">
        <v>157</v>
      </c>
      <c r="B6" s="17" t="s">
        <v>158</v>
      </c>
      <c r="C6" s="3" t="s">
        <v>159</v>
      </c>
      <c r="D6" s="4" t="s">
        <v>7</v>
      </c>
      <c r="E6" s="5" t="s">
        <v>160</v>
      </c>
    </row>
    <row r="7" spans="1:5" ht="12.95" customHeight="1" x14ac:dyDescent="0.25">
      <c r="A7" s="16" t="s">
        <v>157</v>
      </c>
      <c r="B7" s="17" t="s">
        <v>161</v>
      </c>
      <c r="C7" s="3" t="s">
        <v>162</v>
      </c>
      <c r="D7" s="4" t="s">
        <v>7</v>
      </c>
      <c r="E7" s="5"/>
    </row>
    <row r="8" spans="1:5" ht="12.95" customHeight="1" x14ac:dyDescent="0.25">
      <c r="A8" s="18" t="s">
        <v>157</v>
      </c>
      <c r="B8" s="17" t="s">
        <v>163</v>
      </c>
      <c r="C8" s="3" t="s">
        <v>164</v>
      </c>
      <c r="D8" s="7" t="s">
        <v>16</v>
      </c>
      <c r="E8" s="5"/>
    </row>
    <row r="9" spans="1:5" ht="12.95" customHeight="1" x14ac:dyDescent="0.25">
      <c r="A9" s="18" t="s">
        <v>157</v>
      </c>
      <c r="B9" s="17" t="s">
        <v>165</v>
      </c>
      <c r="C9" s="3" t="s">
        <v>166</v>
      </c>
      <c r="D9" s="7" t="s">
        <v>16</v>
      </c>
      <c r="E9" s="5"/>
    </row>
    <row r="10" spans="1:5" ht="12.95" customHeight="1" x14ac:dyDescent="0.25">
      <c r="A10" s="19" t="s">
        <v>157</v>
      </c>
      <c r="B10" s="17" t="s">
        <v>167</v>
      </c>
      <c r="C10" s="3" t="s">
        <v>168</v>
      </c>
      <c r="D10" s="9" t="s">
        <v>21</v>
      </c>
      <c r="E10" s="5" t="s">
        <v>169</v>
      </c>
    </row>
    <row r="11" spans="1:5" ht="12.95" customHeight="1" x14ac:dyDescent="0.25">
      <c r="A11" s="20" t="s">
        <v>157</v>
      </c>
      <c r="B11" s="17" t="s">
        <v>170</v>
      </c>
      <c r="C11" s="21" t="s">
        <v>171</v>
      </c>
      <c r="D11" s="22" t="s">
        <v>172</v>
      </c>
      <c r="E11" s="5" t="s">
        <v>173</v>
      </c>
    </row>
    <row r="12" spans="1:5" ht="12.95" customHeight="1" x14ac:dyDescent="0.25">
      <c r="A12" s="19" t="s">
        <v>157</v>
      </c>
      <c r="B12" s="17" t="s">
        <v>174</v>
      </c>
      <c r="C12" s="12" t="s">
        <v>175</v>
      </c>
      <c r="D12" s="9" t="s">
        <v>21</v>
      </c>
      <c r="E12" s="5"/>
    </row>
    <row r="13" spans="1:5" ht="12.95" customHeight="1" x14ac:dyDescent="0.25">
      <c r="A13" s="23" t="s">
        <v>157</v>
      </c>
      <c r="B13" s="17" t="s">
        <v>176</v>
      </c>
      <c r="C13" s="12" t="s">
        <v>177</v>
      </c>
      <c r="D13" s="11" t="s">
        <v>30</v>
      </c>
      <c r="E13" s="5"/>
    </row>
    <row r="14" spans="1:5" ht="12.95" customHeight="1" x14ac:dyDescent="0.25">
      <c r="A14" s="23" t="s">
        <v>157</v>
      </c>
      <c r="B14" s="17" t="s">
        <v>178</v>
      </c>
      <c r="C14" s="12" t="s">
        <v>179</v>
      </c>
      <c r="D14" s="11" t="s">
        <v>30</v>
      </c>
      <c r="E14" s="5"/>
    </row>
    <row r="15" spans="1:5" ht="12.95" customHeight="1" x14ac:dyDescent="0.25">
      <c r="A15" s="24" t="s">
        <v>157</v>
      </c>
      <c r="B15" s="17" t="s">
        <v>180</v>
      </c>
      <c r="C15" s="12" t="s">
        <v>181</v>
      </c>
      <c r="D15" s="13" t="s">
        <v>37</v>
      </c>
      <c r="E15" s="5"/>
    </row>
    <row r="16" spans="1:5" ht="12.95" customHeight="1" x14ac:dyDescent="0.25">
      <c r="A16" s="24" t="s">
        <v>157</v>
      </c>
      <c r="B16" s="17" t="s">
        <v>182</v>
      </c>
      <c r="C16" s="12" t="s">
        <v>183</v>
      </c>
      <c r="D16" s="13" t="s">
        <v>37</v>
      </c>
      <c r="E16" s="5" t="s">
        <v>184</v>
      </c>
    </row>
    <row r="17" spans="1:5" ht="12.95" customHeight="1" x14ac:dyDescent="0.25">
      <c r="A17" s="16" t="s">
        <v>185</v>
      </c>
      <c r="B17" s="17" t="s">
        <v>186</v>
      </c>
      <c r="C17" s="3" t="s">
        <v>159</v>
      </c>
      <c r="D17" s="4" t="s">
        <v>7</v>
      </c>
      <c r="E17" s="5" t="s">
        <v>187</v>
      </c>
    </row>
    <row r="18" spans="1:5" ht="12.95" customHeight="1" x14ac:dyDescent="0.25">
      <c r="A18" s="16" t="s">
        <v>185</v>
      </c>
      <c r="B18" s="17" t="s">
        <v>188</v>
      </c>
      <c r="C18" s="3" t="s">
        <v>162</v>
      </c>
      <c r="D18" s="4" t="s">
        <v>7</v>
      </c>
      <c r="E18" s="5"/>
    </row>
    <row r="19" spans="1:5" ht="12.95" customHeight="1" x14ac:dyDescent="0.25">
      <c r="A19" s="18" t="s">
        <v>185</v>
      </c>
      <c r="B19" s="17" t="s">
        <v>176</v>
      </c>
      <c r="C19" s="3" t="s">
        <v>164</v>
      </c>
      <c r="D19" s="7" t="s">
        <v>16</v>
      </c>
      <c r="E19" s="5"/>
    </row>
    <row r="20" spans="1:5" ht="12.95" customHeight="1" x14ac:dyDescent="0.25">
      <c r="A20" s="18" t="s">
        <v>185</v>
      </c>
      <c r="B20" s="17" t="s">
        <v>189</v>
      </c>
      <c r="C20" s="3" t="s">
        <v>166</v>
      </c>
      <c r="D20" s="7" t="s">
        <v>16</v>
      </c>
      <c r="E20" s="5"/>
    </row>
    <row r="21" spans="1:5" ht="12.95" customHeight="1" x14ac:dyDescent="0.25">
      <c r="A21" s="19" t="s">
        <v>185</v>
      </c>
      <c r="B21" s="17" t="s">
        <v>174</v>
      </c>
      <c r="C21" s="3" t="s">
        <v>168</v>
      </c>
      <c r="D21" s="9" t="s">
        <v>21</v>
      </c>
      <c r="E21" s="5"/>
    </row>
    <row r="22" spans="1:5" ht="12.95" customHeight="1" x14ac:dyDescent="0.25">
      <c r="A22" s="19" t="s">
        <v>185</v>
      </c>
      <c r="B22" s="17" t="s">
        <v>190</v>
      </c>
      <c r="C22" s="3" t="s">
        <v>191</v>
      </c>
      <c r="D22" s="9" t="s">
        <v>21</v>
      </c>
      <c r="E22" s="5" t="s">
        <v>192</v>
      </c>
    </row>
    <row r="23" spans="1:5" ht="12.95" customHeight="1" x14ac:dyDescent="0.25">
      <c r="A23" s="20" t="s">
        <v>185</v>
      </c>
      <c r="B23" s="17" t="s">
        <v>170</v>
      </c>
      <c r="C23" s="21" t="s">
        <v>171</v>
      </c>
      <c r="D23" s="22" t="s">
        <v>172</v>
      </c>
      <c r="E23" s="5"/>
    </row>
    <row r="24" spans="1:5" ht="12.95" customHeight="1" x14ac:dyDescent="0.25">
      <c r="A24" s="19" t="s">
        <v>185</v>
      </c>
      <c r="B24" s="17" t="s">
        <v>165</v>
      </c>
      <c r="C24" s="12" t="s">
        <v>175</v>
      </c>
      <c r="D24" s="9" t="s">
        <v>21</v>
      </c>
      <c r="E24" s="5"/>
    </row>
    <row r="25" spans="1:5" ht="12.95" customHeight="1" x14ac:dyDescent="0.25">
      <c r="A25" s="23" t="s">
        <v>185</v>
      </c>
      <c r="B25" s="17" t="s">
        <v>163</v>
      </c>
      <c r="C25" s="12" t="s">
        <v>177</v>
      </c>
      <c r="D25" s="11" t="s">
        <v>30</v>
      </c>
      <c r="E25" s="5"/>
    </row>
    <row r="26" spans="1:5" ht="12.95" customHeight="1" x14ac:dyDescent="0.25">
      <c r="A26" s="23" t="s">
        <v>185</v>
      </c>
      <c r="B26" s="17" t="s">
        <v>161</v>
      </c>
      <c r="C26" s="12" t="s">
        <v>179</v>
      </c>
      <c r="D26" s="11" t="s">
        <v>30</v>
      </c>
      <c r="E26" s="5"/>
    </row>
    <row r="27" spans="1:5" ht="12.95" customHeight="1" x14ac:dyDescent="0.25">
      <c r="A27" s="24" t="s">
        <v>185</v>
      </c>
      <c r="B27" s="17" t="s">
        <v>193</v>
      </c>
      <c r="C27" s="12" t="s">
        <v>181</v>
      </c>
      <c r="D27" s="13" t="s">
        <v>37</v>
      </c>
      <c r="E27" s="5"/>
    </row>
    <row r="28" spans="1:5" ht="12.95" customHeight="1" x14ac:dyDescent="0.25">
      <c r="A28" s="24" t="s">
        <v>185</v>
      </c>
      <c r="B28" s="17" t="s">
        <v>194</v>
      </c>
      <c r="C28" s="12" t="s">
        <v>183</v>
      </c>
      <c r="D28" s="13" t="s">
        <v>37</v>
      </c>
      <c r="E28" s="5" t="s">
        <v>184</v>
      </c>
    </row>
    <row r="29" spans="1:5" ht="12.95" customHeight="1" x14ac:dyDescent="0.25">
      <c r="A29" s="16" t="s">
        <v>195</v>
      </c>
      <c r="B29" s="17" t="s">
        <v>196</v>
      </c>
      <c r="C29" s="3" t="s">
        <v>159</v>
      </c>
      <c r="D29" s="4" t="s">
        <v>7</v>
      </c>
      <c r="E29" s="5"/>
    </row>
    <row r="30" spans="1:5" ht="12.95" customHeight="1" x14ac:dyDescent="0.25">
      <c r="A30" s="18" t="s">
        <v>195</v>
      </c>
      <c r="B30" s="17" t="s">
        <v>197</v>
      </c>
      <c r="C30" s="3" t="s">
        <v>198</v>
      </c>
      <c r="D30" s="7" t="s">
        <v>16</v>
      </c>
      <c r="E30" s="5"/>
    </row>
    <row r="31" spans="1:5" ht="12.95" customHeight="1" x14ac:dyDescent="0.25">
      <c r="A31" s="19" t="s">
        <v>195</v>
      </c>
      <c r="B31" s="17" t="s">
        <v>199</v>
      </c>
      <c r="C31" s="3" t="s">
        <v>191</v>
      </c>
      <c r="D31" s="9" t="s">
        <v>21</v>
      </c>
      <c r="E31" s="5"/>
    </row>
    <row r="32" spans="1:5" ht="12.95" customHeight="1" x14ac:dyDescent="0.25">
      <c r="A32" s="20" t="s">
        <v>195</v>
      </c>
      <c r="B32" s="17" t="s">
        <v>200</v>
      </c>
      <c r="C32" s="3" t="s">
        <v>201</v>
      </c>
      <c r="D32" s="22" t="s">
        <v>172</v>
      </c>
      <c r="E32" s="5"/>
    </row>
    <row r="33" spans="1:5" ht="12.95" customHeight="1" x14ac:dyDescent="0.25">
      <c r="A33" s="20" t="s">
        <v>195</v>
      </c>
      <c r="B33" s="17" t="s">
        <v>202</v>
      </c>
      <c r="C33" s="12" t="s">
        <v>203</v>
      </c>
      <c r="D33" s="22" t="s">
        <v>172</v>
      </c>
      <c r="E33" s="5"/>
    </row>
    <row r="34" spans="1:5" ht="12.95" customHeight="1" x14ac:dyDescent="0.25">
      <c r="A34" s="19" t="s">
        <v>195</v>
      </c>
      <c r="B34" s="17" t="s">
        <v>204</v>
      </c>
      <c r="C34" s="12" t="s">
        <v>205</v>
      </c>
      <c r="D34" s="9" t="s">
        <v>21</v>
      </c>
      <c r="E34" s="5"/>
    </row>
    <row r="35" spans="1:5" ht="12.95" customHeight="1" x14ac:dyDescent="0.25">
      <c r="A35" s="23" t="s">
        <v>195</v>
      </c>
      <c r="B35" s="17" t="s">
        <v>206</v>
      </c>
      <c r="C35" s="12" t="s">
        <v>207</v>
      </c>
      <c r="D35" s="11" t="s">
        <v>30</v>
      </c>
      <c r="E35" s="5"/>
    </row>
    <row r="36" spans="1:5" ht="12.95" customHeight="1" x14ac:dyDescent="0.25">
      <c r="A36" s="24" t="s">
        <v>195</v>
      </c>
      <c r="B36" s="17" t="s">
        <v>208</v>
      </c>
      <c r="C36" s="12" t="s">
        <v>183</v>
      </c>
      <c r="D36" s="13" t="s">
        <v>37</v>
      </c>
      <c r="E36" s="5"/>
    </row>
    <row r="37" spans="1:5" ht="12.95" customHeight="1" x14ac:dyDescent="0.25">
      <c r="A37" s="16" t="s">
        <v>209</v>
      </c>
      <c r="B37" s="17" t="s">
        <v>210</v>
      </c>
      <c r="C37" s="3" t="s">
        <v>159</v>
      </c>
      <c r="D37" s="4" t="s">
        <v>7</v>
      </c>
      <c r="E37" s="5" t="s">
        <v>211</v>
      </c>
    </row>
    <row r="38" spans="1:5" ht="12.95" customHeight="1" x14ac:dyDescent="0.25">
      <c r="A38" s="18" t="s">
        <v>209</v>
      </c>
      <c r="B38" s="17" t="s">
        <v>212</v>
      </c>
      <c r="C38" s="3" t="s">
        <v>198</v>
      </c>
      <c r="D38" s="7" t="s">
        <v>16</v>
      </c>
      <c r="E38" s="5"/>
    </row>
    <row r="39" spans="1:5" ht="12.95" customHeight="1" x14ac:dyDescent="0.25">
      <c r="A39" s="19" t="s">
        <v>209</v>
      </c>
      <c r="B39" s="17" t="s">
        <v>190</v>
      </c>
      <c r="C39" s="3" t="s">
        <v>191</v>
      </c>
      <c r="D39" s="9" t="s">
        <v>21</v>
      </c>
      <c r="E39" s="5"/>
    </row>
    <row r="40" spans="1:5" ht="12.95" customHeight="1" x14ac:dyDescent="0.25">
      <c r="A40" s="20" t="s">
        <v>209</v>
      </c>
      <c r="B40" s="17" t="s">
        <v>213</v>
      </c>
      <c r="C40" s="21" t="s">
        <v>171</v>
      </c>
      <c r="D40" s="22" t="s">
        <v>172</v>
      </c>
      <c r="E40" s="5"/>
    </row>
    <row r="41" spans="1:5" ht="12.95" customHeight="1" x14ac:dyDescent="0.25">
      <c r="A41" s="19" t="s">
        <v>209</v>
      </c>
      <c r="B41" s="17" t="s">
        <v>167</v>
      </c>
      <c r="C41" s="12" t="s">
        <v>205</v>
      </c>
      <c r="D41" s="9" t="s">
        <v>21</v>
      </c>
      <c r="E41" s="5"/>
    </row>
    <row r="42" spans="1:5" ht="12.95" customHeight="1" x14ac:dyDescent="0.25">
      <c r="A42" s="23" t="s">
        <v>209</v>
      </c>
      <c r="B42" s="17" t="s">
        <v>214</v>
      </c>
      <c r="C42" s="12" t="s">
        <v>207</v>
      </c>
      <c r="D42" s="11" t="s">
        <v>30</v>
      </c>
      <c r="E42" s="5"/>
    </row>
    <row r="43" spans="1:5" ht="12.95" customHeight="1" x14ac:dyDescent="0.25">
      <c r="A43" s="24" t="s">
        <v>209</v>
      </c>
      <c r="B43" s="17" t="s">
        <v>215</v>
      </c>
      <c r="C43" s="12" t="s">
        <v>183</v>
      </c>
      <c r="D43" s="13" t="s">
        <v>37</v>
      </c>
      <c r="E43" s="5" t="s">
        <v>216</v>
      </c>
    </row>
    <row r="46" spans="1:5" ht="18" customHeight="1" x14ac:dyDescent="0.25">
      <c r="A46" s="59" t="s">
        <v>217</v>
      </c>
      <c r="B46" s="47"/>
      <c r="C46" s="47"/>
      <c r="D46" s="47"/>
      <c r="E46" s="47"/>
    </row>
    <row r="47" spans="1:5" ht="24" customHeight="1" x14ac:dyDescent="0.25">
      <c r="A47" s="1" t="s">
        <v>218</v>
      </c>
      <c r="B47" s="1" t="s">
        <v>219</v>
      </c>
      <c r="C47" s="1" t="s">
        <v>220</v>
      </c>
      <c r="D47" s="1" t="s">
        <v>4</v>
      </c>
      <c r="E47" s="1" t="s">
        <v>5</v>
      </c>
    </row>
    <row r="48" spans="1:5" ht="15.95" customHeight="1" x14ac:dyDescent="0.25">
      <c r="A48" s="2" t="s">
        <v>221</v>
      </c>
      <c r="B48" s="25" t="s">
        <v>222</v>
      </c>
      <c r="C48" s="26" t="s">
        <v>222</v>
      </c>
      <c r="D48" s="9" t="s">
        <v>21</v>
      </c>
      <c r="E48" s="5" t="s">
        <v>223</v>
      </c>
    </row>
    <row r="49" spans="1:5" ht="15.95" customHeight="1" x14ac:dyDescent="0.25">
      <c r="A49" s="2" t="s">
        <v>224</v>
      </c>
      <c r="B49" s="25" t="s">
        <v>225</v>
      </c>
      <c r="C49" s="27" t="s">
        <v>191</v>
      </c>
      <c r="D49" s="7" t="s">
        <v>16</v>
      </c>
      <c r="E49" s="5"/>
    </row>
    <row r="50" spans="1:5" ht="15.95" customHeight="1" x14ac:dyDescent="0.25">
      <c r="A50" s="2" t="s">
        <v>226</v>
      </c>
      <c r="B50" s="25" t="s">
        <v>227</v>
      </c>
      <c r="C50" s="27" t="s">
        <v>166</v>
      </c>
      <c r="D50" s="7" t="s">
        <v>16</v>
      </c>
      <c r="E50" s="5" t="s">
        <v>228</v>
      </c>
    </row>
    <row r="51" spans="1:5" ht="15.95" customHeight="1" x14ac:dyDescent="0.25">
      <c r="A51" s="2" t="s">
        <v>229</v>
      </c>
      <c r="B51" s="25" t="s">
        <v>227</v>
      </c>
      <c r="C51" s="25" t="s">
        <v>162</v>
      </c>
      <c r="D51" s="4" t="s">
        <v>7</v>
      </c>
      <c r="E51" s="5"/>
    </row>
    <row r="52" spans="1:5" ht="15.95" customHeight="1" x14ac:dyDescent="0.25">
      <c r="A52" s="2" t="s">
        <v>230</v>
      </c>
      <c r="B52" s="25" t="s">
        <v>222</v>
      </c>
      <c r="C52" s="25" t="s">
        <v>159</v>
      </c>
      <c r="D52" s="4" t="s">
        <v>7</v>
      </c>
      <c r="E52" s="5" t="s">
        <v>231</v>
      </c>
    </row>
    <row r="53" spans="1:5" ht="15.95" customHeight="1" x14ac:dyDescent="0.25">
      <c r="A53" s="2" t="s">
        <v>232</v>
      </c>
      <c r="B53" s="28" t="s">
        <v>233</v>
      </c>
      <c r="C53" s="28" t="s">
        <v>171</v>
      </c>
      <c r="D53" s="13" t="s">
        <v>37</v>
      </c>
      <c r="E53" s="5" t="s">
        <v>234</v>
      </c>
    </row>
  </sheetData>
  <mergeCells count="4">
    <mergeCell ref="A2:E2"/>
    <mergeCell ref="A1:E1"/>
    <mergeCell ref="A4:E4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E26"/>
  <sheetViews>
    <sheetView showGridLines="0" workbookViewId="0">
      <selection sqref="A1:E1"/>
    </sheetView>
  </sheetViews>
  <sheetFormatPr defaultRowHeight="15" x14ac:dyDescent="0.25"/>
  <cols>
    <col min="1" max="1" width="32" customWidth="1"/>
    <col min="2" max="4" width="10" customWidth="1"/>
    <col min="5" max="5" width="36" customWidth="1"/>
  </cols>
  <sheetData>
    <row r="1" spans="1:5" ht="20.100000000000001" customHeight="1" x14ac:dyDescent="0.25">
      <c r="A1" s="65" t="s">
        <v>235</v>
      </c>
      <c r="B1" s="47"/>
      <c r="C1" s="47"/>
      <c r="D1" s="47"/>
      <c r="E1" s="47"/>
    </row>
    <row r="2" spans="1:5" ht="24" customHeight="1" x14ac:dyDescent="0.25">
      <c r="A2" s="63" t="s">
        <v>236</v>
      </c>
      <c r="B2" s="47"/>
      <c r="C2" s="47"/>
      <c r="D2" s="47"/>
      <c r="E2" s="47"/>
    </row>
    <row r="4" spans="1:5" ht="20.100000000000001" customHeight="1" x14ac:dyDescent="0.25">
      <c r="A4" s="51" t="s">
        <v>237</v>
      </c>
      <c r="B4" s="47"/>
      <c r="C4" s="47"/>
      <c r="D4" s="47"/>
      <c r="E4" s="47"/>
    </row>
    <row r="5" spans="1:5" ht="20.100000000000001" customHeight="1" x14ac:dyDescent="0.25">
      <c r="A5" s="29" t="s">
        <v>238</v>
      </c>
      <c r="B5" s="30" t="s">
        <v>239</v>
      </c>
      <c r="C5" s="30" t="s">
        <v>240</v>
      </c>
    </row>
    <row r="6" spans="1:5" ht="20.100000000000001" customHeight="1" x14ac:dyDescent="0.25">
      <c r="A6" s="31" t="s">
        <v>241</v>
      </c>
      <c r="B6" s="32" t="s">
        <v>242</v>
      </c>
      <c r="C6" s="33" t="s">
        <v>243</v>
      </c>
    </row>
    <row r="7" spans="1:5" ht="20.100000000000001" customHeight="1" x14ac:dyDescent="0.25">
      <c r="A7" s="31" t="s">
        <v>244</v>
      </c>
      <c r="B7" s="32" t="s">
        <v>245</v>
      </c>
      <c r="C7" s="33" t="s">
        <v>246</v>
      </c>
    </row>
    <row r="8" spans="1:5" ht="20.100000000000001" customHeight="1" x14ac:dyDescent="0.25">
      <c r="A8" s="31" t="e">
        <f>DVOJITÝ POSTIH za záporné saldo</f>
        <v>#NAME?</v>
      </c>
      <c r="B8" s="32" t="s">
        <v>247</v>
      </c>
      <c r="C8" s="33" t="s">
        <v>248</v>
      </c>
    </row>
    <row r="9" spans="1:5" ht="20.100000000000001" customHeight="1" x14ac:dyDescent="0.25">
      <c r="A9" s="31" t="s">
        <v>249</v>
      </c>
      <c r="B9" s="32" t="s">
        <v>250</v>
      </c>
      <c r="C9" s="33" t="s">
        <v>251</v>
      </c>
    </row>
    <row r="11" spans="1:5" ht="18" customHeight="1" x14ac:dyDescent="0.25">
      <c r="A11" s="64" t="s">
        <v>252</v>
      </c>
      <c r="B11" s="47"/>
      <c r="C11" s="47"/>
      <c r="D11" s="47"/>
      <c r="E11" s="47"/>
    </row>
    <row r="12" spans="1:5" ht="30" customHeight="1" x14ac:dyDescent="0.25">
      <c r="A12" s="1" t="s">
        <v>253</v>
      </c>
      <c r="B12" s="1" t="s">
        <v>254</v>
      </c>
      <c r="C12" s="1" t="s">
        <v>255</v>
      </c>
      <c r="D12" s="1" t="s">
        <v>256</v>
      </c>
      <c r="E12" s="1" t="s">
        <v>257</v>
      </c>
    </row>
    <row r="13" spans="1:5" ht="18" customHeight="1" x14ac:dyDescent="0.25">
      <c r="A13" s="34" t="s">
        <v>258</v>
      </c>
      <c r="B13" s="35">
        <v>90</v>
      </c>
      <c r="C13" s="35">
        <v>100</v>
      </c>
      <c r="D13" s="36" t="s">
        <v>259</v>
      </c>
      <c r="E13" s="37" t="s">
        <v>258</v>
      </c>
    </row>
    <row r="14" spans="1:5" ht="18" customHeight="1" x14ac:dyDescent="0.25">
      <c r="A14" s="34" t="s">
        <v>260</v>
      </c>
      <c r="B14" s="35">
        <v>75</v>
      </c>
      <c r="C14" s="35">
        <v>89</v>
      </c>
      <c r="D14" s="36" t="s">
        <v>261</v>
      </c>
      <c r="E14" s="37" t="s">
        <v>260</v>
      </c>
    </row>
    <row r="15" spans="1:5" ht="18" customHeight="1" x14ac:dyDescent="0.25">
      <c r="A15" s="38" t="s">
        <v>262</v>
      </c>
      <c r="B15" s="35">
        <v>60</v>
      </c>
      <c r="C15" s="35">
        <v>74</v>
      </c>
      <c r="D15" s="36" t="s">
        <v>263</v>
      </c>
      <c r="E15" s="39" t="s">
        <v>262</v>
      </c>
    </row>
    <row r="16" spans="1:5" ht="18" customHeight="1" x14ac:dyDescent="0.25">
      <c r="A16" s="40" t="s">
        <v>264</v>
      </c>
      <c r="B16" s="35">
        <v>45</v>
      </c>
      <c r="C16" s="35">
        <v>59</v>
      </c>
      <c r="D16" s="36" t="s">
        <v>265</v>
      </c>
      <c r="E16" s="41" t="s">
        <v>264</v>
      </c>
    </row>
    <row r="17" spans="1:5" ht="18" customHeight="1" x14ac:dyDescent="0.25">
      <c r="A17" s="42" t="s">
        <v>266</v>
      </c>
      <c r="B17" s="35">
        <v>30</v>
      </c>
      <c r="C17" s="35">
        <v>44</v>
      </c>
      <c r="D17" s="36" t="s">
        <v>267</v>
      </c>
      <c r="E17" s="43" t="s">
        <v>266</v>
      </c>
    </row>
    <row r="18" spans="1:5" ht="18" customHeight="1" x14ac:dyDescent="0.25">
      <c r="A18" s="44" t="s">
        <v>71</v>
      </c>
      <c r="B18" s="35">
        <v>0</v>
      </c>
      <c r="C18" s="35">
        <v>29</v>
      </c>
      <c r="D18" s="36" t="s">
        <v>268</v>
      </c>
      <c r="E18" s="45" t="s">
        <v>71</v>
      </c>
    </row>
    <row r="21" spans="1:5" ht="20.100000000000001" customHeight="1" x14ac:dyDescent="0.25">
      <c r="A21" s="60" t="s">
        <v>269</v>
      </c>
      <c r="B21" s="47"/>
      <c r="C21" s="47"/>
      <c r="D21" s="47"/>
      <c r="E21" s="47"/>
    </row>
    <row r="22" spans="1:5" ht="20.100000000000001" customHeight="1" x14ac:dyDescent="0.25">
      <c r="A22" s="19" t="s">
        <v>270</v>
      </c>
      <c r="B22" s="62" t="s">
        <v>271</v>
      </c>
      <c r="C22" s="47"/>
      <c r="D22" s="61" t="s">
        <v>272</v>
      </c>
      <c r="E22" s="47"/>
    </row>
    <row r="23" spans="1:5" ht="20.100000000000001" customHeight="1" x14ac:dyDescent="0.25">
      <c r="A23" s="19" t="s">
        <v>273</v>
      </c>
      <c r="B23" s="62" t="s">
        <v>274</v>
      </c>
      <c r="C23" s="47"/>
      <c r="D23" s="61" t="s">
        <v>275</v>
      </c>
      <c r="E23" s="47"/>
    </row>
    <row r="24" spans="1:5" ht="20.100000000000001" customHeight="1" x14ac:dyDescent="0.25">
      <c r="A24" s="19" t="s">
        <v>276</v>
      </c>
      <c r="B24" s="62" t="s">
        <v>277</v>
      </c>
      <c r="C24" s="47"/>
      <c r="D24" s="61" t="s">
        <v>278</v>
      </c>
      <c r="E24" s="47"/>
    </row>
    <row r="25" spans="1:5" ht="20.100000000000001" customHeight="1" x14ac:dyDescent="0.25">
      <c r="A25" s="19" t="s">
        <v>279</v>
      </c>
      <c r="B25" s="62" t="s">
        <v>280</v>
      </c>
      <c r="C25" s="47"/>
      <c r="D25" s="61" t="s">
        <v>281</v>
      </c>
      <c r="E25" s="47"/>
    </row>
    <row r="26" spans="1:5" ht="20.100000000000001" customHeight="1" x14ac:dyDescent="0.25">
      <c r="A26" s="19" t="s">
        <v>282</v>
      </c>
      <c r="B26" s="62" t="s">
        <v>283</v>
      </c>
      <c r="C26" s="47"/>
      <c r="D26" s="61" t="s">
        <v>284</v>
      </c>
      <c r="E26" s="47"/>
    </row>
  </sheetData>
  <mergeCells count="15">
    <mergeCell ref="A1:E1"/>
    <mergeCell ref="D22:E22"/>
    <mergeCell ref="B26:C26"/>
    <mergeCell ref="D26:E26"/>
    <mergeCell ref="A2:E2"/>
    <mergeCell ref="B25:C25"/>
    <mergeCell ref="D23:E23"/>
    <mergeCell ref="A11:E11"/>
    <mergeCell ref="B23:C23"/>
    <mergeCell ref="B22:C22"/>
    <mergeCell ref="A21:E21"/>
    <mergeCell ref="D25:E25"/>
    <mergeCell ref="B24:C24"/>
    <mergeCell ref="A4:E4"/>
    <mergeCell ref="D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S1 Cash flow</vt:lpstr>
      <vt:lpstr>S2 Zadluženost</vt:lpstr>
      <vt:lpstr>S3 Rezerva</vt:lpstr>
      <vt:lpstr>S4 Spoření</vt:lpstr>
      <vt:lpstr>S-Trend+Bonus</vt:lpstr>
      <vt:lpstr>Celkové hodnocení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</cp:lastModifiedBy>
  <dcterms:created xsi:type="dcterms:W3CDTF">2026-05-22T22:27:37Z</dcterms:created>
  <dcterms:modified xsi:type="dcterms:W3CDTF">2026-05-23T19:30:34Z</dcterms:modified>
</cp:coreProperties>
</file>